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810"/>
  <workbookPr/>
  <mc:AlternateContent xmlns:mc="http://schemas.openxmlformats.org/markup-compatibility/2006">
    <mc:Choice Requires="x15">
      <x15ac:absPath xmlns:x15ac="http://schemas.microsoft.com/office/spreadsheetml/2010/11/ac" url="/Users/andywong/Desktop/FDT工作/小T投资者教育/"/>
    </mc:Choice>
  </mc:AlternateContent>
  <bookViews>
    <workbookView xWindow="0" yWindow="460" windowWidth="28800" windowHeight="16500" tabRatio="500"/>
  </bookViews>
  <sheets>
    <sheet name="复星医药 彩礼" sheetId="7" r:id="rId1"/>
    <sheet name="金风科技 婚宴" sheetId="8" r:id="rId2"/>
    <sheet name="紫金矿业 婚房" sheetId="9" r:id="rId3"/>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I106" i="9" l="1"/>
  <c r="J106" i="9"/>
  <c r="K106" i="9"/>
  <c r="L106" i="9"/>
  <c r="I107" i="9"/>
  <c r="J107" i="9"/>
  <c r="K107" i="9"/>
  <c r="L107" i="9"/>
  <c r="I108" i="9"/>
  <c r="J108" i="9"/>
  <c r="K108" i="9"/>
  <c r="L108" i="9"/>
  <c r="I109" i="9"/>
  <c r="J109" i="9"/>
  <c r="K109" i="9"/>
  <c r="L109" i="9"/>
  <c r="I110" i="9"/>
  <c r="J110" i="9"/>
  <c r="K110" i="9"/>
  <c r="L110" i="9"/>
  <c r="I111" i="9"/>
  <c r="J111" i="9"/>
  <c r="K111" i="9"/>
  <c r="L111" i="9"/>
  <c r="I112" i="9"/>
  <c r="J112" i="9"/>
  <c r="K112" i="9"/>
  <c r="L112" i="9"/>
  <c r="I113" i="9"/>
  <c r="J113" i="9"/>
  <c r="K113" i="9"/>
  <c r="L113" i="9"/>
  <c r="I114" i="9"/>
  <c r="J114" i="9"/>
  <c r="K114" i="9"/>
  <c r="L114" i="9"/>
  <c r="I115" i="9"/>
  <c r="J115" i="9"/>
  <c r="K115" i="9"/>
  <c r="L115" i="9"/>
  <c r="I116" i="9"/>
  <c r="J116" i="9"/>
  <c r="K116" i="9"/>
  <c r="L116" i="9"/>
  <c r="I117" i="9"/>
  <c r="J117" i="9"/>
  <c r="K117" i="9"/>
  <c r="L117" i="9"/>
  <c r="I118" i="9"/>
  <c r="J118" i="9"/>
  <c r="K118" i="9"/>
  <c r="L118" i="9"/>
  <c r="I119" i="9"/>
  <c r="J119" i="9"/>
  <c r="K119" i="9"/>
  <c r="L119" i="9"/>
  <c r="I120" i="9"/>
  <c r="J120" i="9"/>
  <c r="K120" i="9"/>
  <c r="L120" i="9"/>
  <c r="I121" i="9"/>
  <c r="J121" i="9"/>
  <c r="K121" i="9"/>
  <c r="L121" i="9"/>
  <c r="I122" i="9"/>
  <c r="J122" i="9"/>
  <c r="K122" i="9"/>
  <c r="L122" i="9"/>
  <c r="I123" i="9"/>
  <c r="J123" i="9"/>
  <c r="K123" i="9"/>
  <c r="L123" i="9"/>
  <c r="I124" i="9"/>
  <c r="J124" i="9"/>
  <c r="K124" i="9"/>
  <c r="L124" i="9"/>
  <c r="I125" i="9"/>
  <c r="J125" i="9"/>
  <c r="K125" i="9"/>
  <c r="L125" i="9"/>
  <c r="I126" i="9"/>
  <c r="J126" i="9"/>
  <c r="K126" i="9"/>
  <c r="L126" i="9"/>
  <c r="I127" i="9"/>
  <c r="J127" i="9"/>
  <c r="K127" i="9"/>
  <c r="L127" i="9"/>
  <c r="I128" i="9"/>
  <c r="J128" i="9"/>
  <c r="K128" i="9"/>
  <c r="L128" i="9"/>
  <c r="I129" i="9"/>
  <c r="J129" i="9"/>
  <c r="K129" i="9"/>
  <c r="L129" i="9"/>
  <c r="I130" i="9"/>
  <c r="J130" i="9"/>
  <c r="K130" i="9"/>
  <c r="L130" i="9"/>
  <c r="I131" i="9"/>
  <c r="J131" i="9"/>
  <c r="K131" i="9"/>
  <c r="L131" i="9"/>
  <c r="I132" i="9"/>
  <c r="J132" i="9"/>
  <c r="K132" i="9"/>
  <c r="L132" i="9"/>
  <c r="I133" i="9"/>
  <c r="J133" i="9"/>
  <c r="K133" i="9"/>
  <c r="L133" i="9"/>
  <c r="I134" i="9"/>
  <c r="J134" i="9"/>
  <c r="K134" i="9"/>
  <c r="L134" i="9"/>
  <c r="I135" i="9"/>
  <c r="J135" i="9"/>
  <c r="K135" i="9"/>
  <c r="L135" i="9"/>
  <c r="I136" i="9"/>
  <c r="J136" i="9"/>
  <c r="K136" i="9"/>
  <c r="L136" i="9"/>
  <c r="I137" i="9"/>
  <c r="J137" i="9"/>
  <c r="K137" i="9"/>
  <c r="L137" i="9"/>
  <c r="I138" i="9"/>
  <c r="J138" i="9"/>
  <c r="K138" i="9"/>
  <c r="L138" i="9"/>
  <c r="I139" i="9"/>
  <c r="J139" i="9"/>
  <c r="K139" i="9"/>
  <c r="L139" i="9"/>
  <c r="I140" i="9"/>
  <c r="J140" i="9"/>
  <c r="K140" i="9"/>
  <c r="L140" i="9"/>
  <c r="I141" i="9"/>
  <c r="J141" i="9"/>
  <c r="K141" i="9"/>
  <c r="L141" i="9"/>
  <c r="I142" i="9"/>
  <c r="J142" i="9"/>
  <c r="K142" i="9"/>
  <c r="L142" i="9"/>
  <c r="I143" i="9"/>
  <c r="J143" i="9"/>
  <c r="K143" i="9"/>
  <c r="L143" i="9"/>
  <c r="I144" i="9"/>
  <c r="J144" i="9"/>
  <c r="K144" i="9"/>
  <c r="L144" i="9"/>
  <c r="I145" i="9"/>
  <c r="J145" i="9"/>
  <c r="K145" i="9"/>
  <c r="L145" i="9"/>
  <c r="I146" i="9"/>
  <c r="J146" i="9"/>
  <c r="K146" i="9"/>
  <c r="L146" i="9"/>
  <c r="I147" i="9"/>
  <c r="J147" i="9"/>
  <c r="K147" i="9"/>
  <c r="L147" i="9"/>
  <c r="I148" i="9"/>
  <c r="J148" i="9"/>
  <c r="K148" i="9"/>
  <c r="L148" i="9"/>
  <c r="I149" i="9"/>
  <c r="J149" i="9"/>
  <c r="K149" i="9"/>
  <c r="L149" i="9"/>
  <c r="I150" i="9"/>
  <c r="J150" i="9"/>
  <c r="K150" i="9"/>
  <c r="L150" i="9"/>
  <c r="I151" i="9"/>
  <c r="J151" i="9"/>
  <c r="K151" i="9"/>
  <c r="L151" i="9"/>
  <c r="I152" i="9"/>
  <c r="J152" i="9"/>
  <c r="K152" i="9"/>
  <c r="L152" i="9"/>
  <c r="I153" i="9"/>
  <c r="J153" i="9"/>
  <c r="K153" i="9"/>
  <c r="L153" i="9"/>
  <c r="I154" i="9"/>
  <c r="J154" i="9"/>
  <c r="K154" i="9"/>
  <c r="L154" i="9"/>
  <c r="I155" i="9"/>
  <c r="J155" i="9"/>
  <c r="K155" i="9"/>
  <c r="L155" i="9"/>
  <c r="I156" i="9"/>
  <c r="J156" i="9"/>
  <c r="K156" i="9"/>
  <c r="L156" i="9"/>
  <c r="I157" i="9"/>
  <c r="J157" i="9"/>
  <c r="K157" i="9"/>
  <c r="L157" i="9"/>
  <c r="I158" i="9"/>
  <c r="J158" i="9"/>
  <c r="K158" i="9"/>
  <c r="L158" i="9"/>
  <c r="I159" i="9"/>
  <c r="J159" i="9"/>
  <c r="K159" i="9"/>
  <c r="L159" i="9"/>
  <c r="I160" i="9"/>
  <c r="J160" i="9"/>
  <c r="K160" i="9"/>
  <c r="L160" i="9"/>
  <c r="I161" i="9"/>
  <c r="J161" i="9"/>
  <c r="K161" i="9"/>
  <c r="L161" i="9"/>
  <c r="I162" i="9"/>
  <c r="J162" i="9"/>
  <c r="K162" i="9"/>
  <c r="L162" i="9"/>
  <c r="I163" i="9"/>
  <c r="J163" i="9"/>
  <c r="K163" i="9"/>
  <c r="L163" i="9"/>
  <c r="I164" i="9"/>
  <c r="J164" i="9"/>
  <c r="K164" i="9"/>
  <c r="L164" i="9"/>
  <c r="I165" i="9"/>
  <c r="J165" i="9"/>
  <c r="K165" i="9"/>
  <c r="L165" i="9"/>
  <c r="I166" i="9"/>
  <c r="J166" i="9"/>
  <c r="K166" i="9"/>
  <c r="L166" i="9"/>
  <c r="I167" i="9"/>
  <c r="J167" i="9"/>
  <c r="K167" i="9"/>
  <c r="L167" i="9"/>
  <c r="I168" i="9"/>
  <c r="J168" i="9"/>
  <c r="K168" i="9"/>
  <c r="L168" i="9"/>
  <c r="I169" i="9"/>
  <c r="J169" i="9"/>
  <c r="K169" i="9"/>
  <c r="L169" i="9"/>
  <c r="I170" i="9"/>
  <c r="J170" i="9"/>
  <c r="K170" i="9"/>
  <c r="L170" i="9"/>
  <c r="I171" i="9"/>
  <c r="J171" i="9"/>
  <c r="K171" i="9"/>
  <c r="L171" i="9"/>
  <c r="I172" i="9"/>
  <c r="J172" i="9"/>
  <c r="K172" i="9"/>
  <c r="L172" i="9"/>
  <c r="I173" i="9"/>
  <c r="J173" i="9"/>
  <c r="K173" i="9"/>
  <c r="L173" i="9"/>
  <c r="I174" i="9"/>
  <c r="J174" i="9"/>
  <c r="K174" i="9"/>
  <c r="L174" i="9"/>
  <c r="I175" i="9"/>
  <c r="J175" i="9"/>
  <c r="K175" i="9"/>
  <c r="L175" i="9"/>
  <c r="I176" i="9"/>
  <c r="J176" i="9"/>
  <c r="K176" i="9"/>
  <c r="L176" i="9"/>
  <c r="I177" i="9"/>
  <c r="J177" i="9"/>
  <c r="K177" i="9"/>
  <c r="L177" i="9"/>
  <c r="I178" i="9"/>
  <c r="J178" i="9"/>
  <c r="K178" i="9"/>
  <c r="L178" i="9"/>
  <c r="I179" i="9"/>
  <c r="J179" i="9"/>
  <c r="K179" i="9"/>
  <c r="L179" i="9"/>
  <c r="I180" i="9"/>
  <c r="J180" i="9"/>
  <c r="K180" i="9"/>
  <c r="L180" i="9"/>
  <c r="I181" i="9"/>
  <c r="J181" i="9"/>
  <c r="K181" i="9"/>
  <c r="L181" i="9"/>
  <c r="I182" i="9"/>
  <c r="J182" i="9"/>
  <c r="K182" i="9"/>
  <c r="L182" i="9"/>
  <c r="I183" i="9"/>
  <c r="J183" i="9"/>
  <c r="K183" i="9"/>
  <c r="L183" i="9"/>
  <c r="I184" i="9"/>
  <c r="J184" i="9"/>
  <c r="K184" i="9"/>
  <c r="L184" i="9"/>
  <c r="I185" i="9"/>
  <c r="J185" i="9"/>
  <c r="K185" i="9"/>
  <c r="L185" i="9"/>
  <c r="I186" i="9"/>
  <c r="J186" i="9"/>
  <c r="K186" i="9"/>
  <c r="L186" i="9"/>
  <c r="I187" i="9"/>
  <c r="J187" i="9"/>
  <c r="K187" i="9"/>
  <c r="L187" i="9"/>
  <c r="I188" i="9"/>
  <c r="J188" i="9"/>
  <c r="K188" i="9"/>
  <c r="L188" i="9"/>
  <c r="I189" i="9"/>
  <c r="J189" i="9"/>
  <c r="K189" i="9"/>
  <c r="L189" i="9"/>
  <c r="I190" i="9"/>
  <c r="J190" i="9"/>
  <c r="K190" i="9"/>
  <c r="L190" i="9"/>
  <c r="I191" i="9"/>
  <c r="J191" i="9"/>
  <c r="K191" i="9"/>
  <c r="L191" i="9"/>
  <c r="I192" i="9"/>
  <c r="J192" i="9"/>
  <c r="K192" i="9"/>
  <c r="L192" i="9"/>
  <c r="I193" i="9"/>
  <c r="J193" i="9"/>
  <c r="K193" i="9"/>
  <c r="L193" i="9"/>
  <c r="I194" i="9"/>
  <c r="J194" i="9"/>
  <c r="K194" i="9"/>
  <c r="L194" i="9"/>
  <c r="I195" i="9"/>
  <c r="J195" i="9"/>
  <c r="K195" i="9"/>
  <c r="L195" i="9"/>
  <c r="I196" i="9"/>
  <c r="J196" i="9"/>
  <c r="K196" i="9"/>
  <c r="L196" i="9"/>
  <c r="I197" i="9"/>
  <c r="J197" i="9"/>
  <c r="K197" i="9"/>
  <c r="L197" i="9"/>
  <c r="I198" i="9"/>
  <c r="J198" i="9"/>
  <c r="K198" i="9"/>
  <c r="L198" i="9"/>
  <c r="I199" i="9"/>
  <c r="J199" i="9"/>
  <c r="K199" i="9"/>
  <c r="L199" i="9"/>
  <c r="I200" i="9"/>
  <c r="J200" i="9"/>
  <c r="K200" i="9"/>
  <c r="L200" i="9"/>
  <c r="I201" i="9"/>
  <c r="J201" i="9"/>
  <c r="K201" i="9"/>
  <c r="L201" i="9"/>
  <c r="I202" i="9"/>
  <c r="J202" i="9"/>
  <c r="K202" i="9"/>
  <c r="L202" i="9"/>
  <c r="I90" i="9"/>
  <c r="J90" i="9"/>
  <c r="K90" i="9"/>
  <c r="L90" i="9"/>
  <c r="I91" i="9"/>
  <c r="J91" i="9"/>
  <c r="K91" i="9"/>
  <c r="L91" i="9"/>
  <c r="I92" i="9"/>
  <c r="J92" i="9"/>
  <c r="K92" i="9"/>
  <c r="L92" i="9"/>
  <c r="I93" i="9"/>
  <c r="J93" i="9"/>
  <c r="K93" i="9"/>
  <c r="L93" i="9"/>
  <c r="I94" i="9"/>
  <c r="J94" i="9"/>
  <c r="K94" i="9"/>
  <c r="L94" i="9"/>
  <c r="I95" i="9"/>
  <c r="J95" i="9"/>
  <c r="K95" i="9"/>
  <c r="L95" i="9"/>
  <c r="I96" i="9"/>
  <c r="J96" i="9"/>
  <c r="K96" i="9"/>
  <c r="L96" i="9"/>
  <c r="I97" i="9"/>
  <c r="J97" i="9"/>
  <c r="K97" i="9"/>
  <c r="L97" i="9"/>
  <c r="I98" i="9"/>
  <c r="J98" i="9"/>
  <c r="K98" i="9"/>
  <c r="L98" i="9"/>
  <c r="I99" i="9"/>
  <c r="J99" i="9"/>
  <c r="K99" i="9"/>
  <c r="L99" i="9"/>
  <c r="I100" i="9"/>
  <c r="J100" i="9"/>
  <c r="K100" i="9"/>
  <c r="L100" i="9"/>
  <c r="I101" i="9"/>
  <c r="J101" i="9"/>
  <c r="K101" i="9"/>
  <c r="L101" i="9"/>
  <c r="I102" i="9"/>
  <c r="J102" i="9"/>
  <c r="K102" i="9"/>
  <c r="L102" i="9"/>
  <c r="I103" i="9"/>
  <c r="J103" i="9"/>
  <c r="K103" i="9"/>
  <c r="L103" i="9"/>
  <c r="I104" i="9"/>
  <c r="J104" i="9"/>
  <c r="K104" i="9"/>
  <c r="L104" i="9"/>
  <c r="I105" i="9"/>
  <c r="J105" i="9"/>
  <c r="K105" i="9"/>
  <c r="L105" i="9"/>
  <c r="L89" i="9"/>
  <c r="K89" i="9"/>
  <c r="J89" i="9"/>
  <c r="I89" i="9"/>
  <c r="I67" i="9"/>
  <c r="J67" i="9"/>
  <c r="K67" i="9"/>
  <c r="L67" i="9"/>
  <c r="I68" i="9"/>
  <c r="J68" i="9"/>
  <c r="K68" i="9"/>
  <c r="L68" i="9"/>
  <c r="I69" i="9"/>
  <c r="J69" i="9"/>
  <c r="K69" i="9"/>
  <c r="L69" i="9"/>
  <c r="I70" i="9"/>
  <c r="J70" i="9"/>
  <c r="K70" i="9"/>
  <c r="L70" i="9"/>
  <c r="I71" i="9"/>
  <c r="J71" i="9"/>
  <c r="K71" i="9"/>
  <c r="L71" i="9"/>
  <c r="I72" i="9"/>
  <c r="J72" i="9"/>
  <c r="K72" i="9"/>
  <c r="L72" i="9"/>
  <c r="I73" i="9"/>
  <c r="J73" i="9"/>
  <c r="K73" i="9"/>
  <c r="L73" i="9"/>
  <c r="I74" i="9"/>
  <c r="J74" i="9"/>
  <c r="K74" i="9"/>
  <c r="L74" i="9"/>
  <c r="I75" i="9"/>
  <c r="J75" i="9"/>
  <c r="K75" i="9"/>
  <c r="L75" i="9"/>
  <c r="I76" i="9"/>
  <c r="J76" i="9"/>
  <c r="K76" i="9"/>
  <c r="L76" i="9"/>
  <c r="I77" i="9"/>
  <c r="J77" i="9"/>
  <c r="K77" i="9"/>
  <c r="L77" i="9"/>
  <c r="I78" i="9"/>
  <c r="J78" i="9"/>
  <c r="K78" i="9"/>
  <c r="L78" i="9"/>
  <c r="I79" i="9"/>
  <c r="J79" i="9"/>
  <c r="K79" i="9"/>
  <c r="L79" i="9"/>
  <c r="I80" i="9"/>
  <c r="J80" i="9"/>
  <c r="K80" i="9"/>
  <c r="L80" i="9"/>
  <c r="I81" i="9"/>
  <c r="J81" i="9"/>
  <c r="K81" i="9"/>
  <c r="L81" i="9"/>
  <c r="I82" i="9"/>
  <c r="J82" i="9"/>
  <c r="K82" i="9"/>
  <c r="L82" i="9"/>
  <c r="I83" i="9"/>
  <c r="J83" i="9"/>
  <c r="K83" i="9"/>
  <c r="L83" i="9"/>
  <c r="I84" i="9"/>
  <c r="J84" i="9"/>
  <c r="K84" i="9"/>
  <c r="L84" i="9"/>
  <c r="I85" i="9"/>
  <c r="J85" i="9"/>
  <c r="K85" i="9"/>
  <c r="L85" i="9"/>
  <c r="I86" i="9"/>
  <c r="J86" i="9"/>
  <c r="K86" i="9"/>
  <c r="L86" i="9"/>
  <c r="I87" i="9"/>
  <c r="J87" i="9"/>
  <c r="K87" i="9"/>
  <c r="L87" i="9"/>
  <c r="I88" i="9"/>
  <c r="J88" i="9"/>
  <c r="K88" i="9"/>
  <c r="L88" i="9"/>
  <c r="L66" i="9"/>
  <c r="K66" i="9"/>
  <c r="J66" i="9"/>
  <c r="I66" i="9"/>
  <c r="I67" i="8"/>
  <c r="J67" i="8"/>
  <c r="K67" i="8"/>
  <c r="L67" i="8"/>
  <c r="I68" i="8"/>
  <c r="J68" i="8"/>
  <c r="K68" i="8"/>
  <c r="L68" i="8"/>
  <c r="I69" i="8"/>
  <c r="J69" i="8"/>
  <c r="K69" i="8"/>
  <c r="L69" i="8"/>
  <c r="I70" i="8"/>
  <c r="J70" i="8"/>
  <c r="K70" i="8"/>
  <c r="L70" i="8"/>
  <c r="I71" i="8"/>
  <c r="J71" i="8"/>
  <c r="K71" i="8"/>
  <c r="L71" i="8"/>
  <c r="I72" i="8"/>
  <c r="J72" i="8"/>
  <c r="K72" i="8"/>
  <c r="L72" i="8"/>
  <c r="I73" i="8"/>
  <c r="J73" i="8"/>
  <c r="K73" i="8"/>
  <c r="L73" i="8"/>
  <c r="I74" i="8"/>
  <c r="J74" i="8"/>
  <c r="K74" i="8"/>
  <c r="L74" i="8"/>
  <c r="I75" i="8"/>
  <c r="J75" i="8"/>
  <c r="K75" i="8"/>
  <c r="L75" i="8"/>
  <c r="I76" i="8"/>
  <c r="J76" i="8"/>
  <c r="K76" i="8"/>
  <c r="L76" i="8"/>
  <c r="I77" i="8"/>
  <c r="J77" i="8"/>
  <c r="K77" i="8"/>
  <c r="L77" i="8"/>
  <c r="I78" i="8"/>
  <c r="J78" i="8"/>
  <c r="K78" i="8"/>
  <c r="L78" i="8"/>
  <c r="I79" i="8"/>
  <c r="J79" i="8"/>
  <c r="K79" i="8"/>
  <c r="L79" i="8"/>
  <c r="I80" i="8"/>
  <c r="J80" i="8"/>
  <c r="K80" i="8"/>
  <c r="L80" i="8"/>
  <c r="I81" i="8"/>
  <c r="J81" i="8"/>
  <c r="K81" i="8"/>
  <c r="L81" i="8"/>
  <c r="I82" i="8"/>
  <c r="J82" i="8"/>
  <c r="K82" i="8"/>
  <c r="L82" i="8"/>
  <c r="I83" i="8"/>
  <c r="J83" i="8"/>
  <c r="K83" i="8"/>
  <c r="L83" i="8"/>
  <c r="I84" i="8"/>
  <c r="J84" i="8"/>
  <c r="K84" i="8"/>
  <c r="L84" i="8"/>
  <c r="I85" i="8"/>
  <c r="J85" i="8"/>
  <c r="K85" i="8"/>
  <c r="L85" i="8"/>
  <c r="I86" i="8"/>
  <c r="J86" i="8"/>
  <c r="K86" i="8"/>
  <c r="L86" i="8"/>
  <c r="I87" i="8"/>
  <c r="J87" i="8"/>
  <c r="K87" i="8"/>
  <c r="L87" i="8"/>
  <c r="I88" i="8"/>
  <c r="J88" i="8"/>
  <c r="K88" i="8"/>
  <c r="L88" i="8"/>
  <c r="I89" i="8"/>
  <c r="J89" i="8"/>
  <c r="K89" i="8"/>
  <c r="L89" i="8"/>
  <c r="I90" i="8"/>
  <c r="J90" i="8"/>
  <c r="K90" i="8"/>
  <c r="L90" i="8"/>
  <c r="I91" i="8"/>
  <c r="J91" i="8"/>
  <c r="K91" i="8"/>
  <c r="L91" i="8"/>
  <c r="I92" i="8"/>
  <c r="J92" i="8"/>
  <c r="K92" i="8"/>
  <c r="L92" i="8"/>
  <c r="I93" i="8"/>
  <c r="J93" i="8"/>
  <c r="K93" i="8"/>
  <c r="L93" i="8"/>
  <c r="I94" i="8"/>
  <c r="J94" i="8"/>
  <c r="K94" i="8"/>
  <c r="L94" i="8"/>
  <c r="I95" i="8"/>
  <c r="J95" i="8"/>
  <c r="K95" i="8"/>
  <c r="L95" i="8"/>
  <c r="I96" i="8"/>
  <c r="J96" i="8"/>
  <c r="K96" i="8"/>
  <c r="L96" i="8"/>
  <c r="I97" i="8"/>
  <c r="J97" i="8"/>
  <c r="K97" i="8"/>
  <c r="L97" i="8"/>
  <c r="I98" i="8"/>
  <c r="J98" i="8"/>
  <c r="K98" i="8"/>
  <c r="L98" i="8"/>
  <c r="I99" i="8"/>
  <c r="J99" i="8"/>
  <c r="K99" i="8"/>
  <c r="L99" i="8"/>
  <c r="I100" i="8"/>
  <c r="J100" i="8"/>
  <c r="K100" i="8"/>
  <c r="L100" i="8"/>
  <c r="I101" i="8"/>
  <c r="J101" i="8"/>
  <c r="K101" i="8"/>
  <c r="L101" i="8"/>
  <c r="I102" i="8"/>
  <c r="J102" i="8"/>
  <c r="K102" i="8"/>
  <c r="L102" i="8"/>
  <c r="I103" i="8"/>
  <c r="J103" i="8"/>
  <c r="K103" i="8"/>
  <c r="L103" i="8"/>
  <c r="I104" i="8"/>
  <c r="J104" i="8"/>
  <c r="K104" i="8"/>
  <c r="L104" i="8"/>
  <c r="I105" i="8"/>
  <c r="J105" i="8"/>
  <c r="K105" i="8"/>
  <c r="L105" i="8"/>
  <c r="I106" i="8"/>
  <c r="J106" i="8"/>
  <c r="K106" i="8"/>
  <c r="L106" i="8"/>
  <c r="I107" i="8"/>
  <c r="J107" i="8"/>
  <c r="K107" i="8"/>
  <c r="L107" i="8"/>
  <c r="I108" i="8"/>
  <c r="J108" i="8"/>
  <c r="K108" i="8"/>
  <c r="L108" i="8"/>
  <c r="I109" i="8"/>
  <c r="J109" i="8"/>
  <c r="K109" i="8"/>
  <c r="L109" i="8"/>
  <c r="I110" i="8"/>
  <c r="J110" i="8"/>
  <c r="K110" i="8"/>
  <c r="L110" i="8"/>
  <c r="I111" i="8"/>
  <c r="J111" i="8"/>
  <c r="K111" i="8"/>
  <c r="L111" i="8"/>
  <c r="I112" i="8"/>
  <c r="J112" i="8"/>
  <c r="K112" i="8"/>
  <c r="L112" i="8"/>
  <c r="I113" i="8"/>
  <c r="J113" i="8"/>
  <c r="K113" i="8"/>
  <c r="L113" i="8"/>
  <c r="I114" i="8"/>
  <c r="J114" i="8"/>
  <c r="K114" i="8"/>
  <c r="L114" i="8"/>
  <c r="I115" i="8"/>
  <c r="J115" i="8"/>
  <c r="K115" i="8"/>
  <c r="L115" i="8"/>
  <c r="I116" i="8"/>
  <c r="J116" i="8"/>
  <c r="K116" i="8"/>
  <c r="L116" i="8"/>
  <c r="I117" i="8"/>
  <c r="J117" i="8"/>
  <c r="K117" i="8"/>
  <c r="L117" i="8"/>
  <c r="I118" i="8"/>
  <c r="J118" i="8"/>
  <c r="K118" i="8"/>
  <c r="L118" i="8"/>
  <c r="I119" i="8"/>
  <c r="J119" i="8"/>
  <c r="K119" i="8"/>
  <c r="L119" i="8"/>
  <c r="I120" i="8"/>
  <c r="J120" i="8"/>
  <c r="K120" i="8"/>
  <c r="L120" i="8"/>
  <c r="I121" i="8"/>
  <c r="J121" i="8"/>
  <c r="K121" i="8"/>
  <c r="L121" i="8"/>
  <c r="I122" i="8"/>
  <c r="J122" i="8"/>
  <c r="K122" i="8"/>
  <c r="L122" i="8"/>
  <c r="I123" i="8"/>
  <c r="J123" i="8"/>
  <c r="K123" i="8"/>
  <c r="L123" i="8"/>
  <c r="I124" i="8"/>
  <c r="J124" i="8"/>
  <c r="K124" i="8"/>
  <c r="L124" i="8"/>
  <c r="I125" i="8"/>
  <c r="J125" i="8"/>
  <c r="K125" i="8"/>
  <c r="L125" i="8"/>
  <c r="I126" i="8"/>
  <c r="J126" i="8"/>
  <c r="K126" i="8"/>
  <c r="L126" i="8"/>
  <c r="I127" i="8"/>
  <c r="J127" i="8"/>
  <c r="K127" i="8"/>
  <c r="L127" i="8"/>
  <c r="I128" i="8"/>
  <c r="J128" i="8"/>
  <c r="K128" i="8"/>
  <c r="L128" i="8"/>
  <c r="I129" i="8"/>
  <c r="J129" i="8"/>
  <c r="K129" i="8"/>
  <c r="L129" i="8"/>
  <c r="I130" i="8"/>
  <c r="J130" i="8"/>
  <c r="K130" i="8"/>
  <c r="L130" i="8"/>
  <c r="I131" i="8"/>
  <c r="J131" i="8"/>
  <c r="K131" i="8"/>
  <c r="L131" i="8"/>
  <c r="I132" i="8"/>
  <c r="J132" i="8"/>
  <c r="K132" i="8"/>
  <c r="L132" i="8"/>
  <c r="I133" i="8"/>
  <c r="J133" i="8"/>
  <c r="K133" i="8"/>
  <c r="L133" i="8"/>
  <c r="I134" i="8"/>
  <c r="J134" i="8"/>
  <c r="K134" i="8"/>
  <c r="L134" i="8"/>
  <c r="I135" i="8"/>
  <c r="J135" i="8"/>
  <c r="K135" i="8"/>
  <c r="L135" i="8"/>
  <c r="I136" i="8"/>
  <c r="J136" i="8"/>
  <c r="K136" i="8"/>
  <c r="L136" i="8"/>
  <c r="I137" i="8"/>
  <c r="J137" i="8"/>
  <c r="K137" i="8"/>
  <c r="L137" i="8"/>
  <c r="I138" i="8"/>
  <c r="J138" i="8"/>
  <c r="K138" i="8"/>
  <c r="L138" i="8"/>
  <c r="I139" i="8"/>
  <c r="J139" i="8"/>
  <c r="K139" i="8"/>
  <c r="L139" i="8"/>
  <c r="I140" i="8"/>
  <c r="J140" i="8"/>
  <c r="K140" i="8"/>
  <c r="L140" i="8"/>
  <c r="I141" i="8"/>
  <c r="J141" i="8"/>
  <c r="K141" i="8"/>
  <c r="L141" i="8"/>
  <c r="I142" i="8"/>
  <c r="J142" i="8"/>
  <c r="K142" i="8"/>
  <c r="L142" i="8"/>
  <c r="I143" i="8"/>
  <c r="J143" i="8"/>
  <c r="K143" i="8"/>
  <c r="L143" i="8"/>
  <c r="I144" i="8"/>
  <c r="J144" i="8"/>
  <c r="K144" i="8"/>
  <c r="L144" i="8"/>
  <c r="I145" i="8"/>
  <c r="J145" i="8"/>
  <c r="K145" i="8"/>
  <c r="L145" i="8"/>
  <c r="I146" i="8"/>
  <c r="J146" i="8"/>
  <c r="K146" i="8"/>
  <c r="L146" i="8"/>
  <c r="I147" i="8"/>
  <c r="J147" i="8"/>
  <c r="K147" i="8"/>
  <c r="L147" i="8"/>
  <c r="I148" i="8"/>
  <c r="J148" i="8"/>
  <c r="K148" i="8"/>
  <c r="L148" i="8"/>
  <c r="I149" i="8"/>
  <c r="J149" i="8"/>
  <c r="K149" i="8"/>
  <c r="L149" i="8"/>
  <c r="I150" i="8"/>
  <c r="J150" i="8"/>
  <c r="K150" i="8"/>
  <c r="L150" i="8"/>
  <c r="I151" i="8"/>
  <c r="J151" i="8"/>
  <c r="K151" i="8"/>
  <c r="L151" i="8"/>
  <c r="I152" i="8"/>
  <c r="J152" i="8"/>
  <c r="K152" i="8"/>
  <c r="L152" i="8"/>
  <c r="I153" i="8"/>
  <c r="J153" i="8"/>
  <c r="K153" i="8"/>
  <c r="L153" i="8"/>
  <c r="I154" i="8"/>
  <c r="J154" i="8"/>
  <c r="K154" i="8"/>
  <c r="L154" i="8"/>
  <c r="I155" i="8"/>
  <c r="J155" i="8"/>
  <c r="K155" i="8"/>
  <c r="L155" i="8"/>
  <c r="I156" i="8"/>
  <c r="J156" i="8"/>
  <c r="K156" i="8"/>
  <c r="L156" i="8"/>
  <c r="I157" i="8"/>
  <c r="J157" i="8"/>
  <c r="K157" i="8"/>
  <c r="L157" i="8"/>
  <c r="I158" i="8"/>
  <c r="J158" i="8"/>
  <c r="K158" i="8"/>
  <c r="L158" i="8"/>
  <c r="I159" i="8"/>
  <c r="J159" i="8"/>
  <c r="K159" i="8"/>
  <c r="L159" i="8"/>
  <c r="I160" i="8"/>
  <c r="J160" i="8"/>
  <c r="K160" i="8"/>
  <c r="L160" i="8"/>
  <c r="I161" i="8"/>
  <c r="J161" i="8"/>
  <c r="K161" i="8"/>
  <c r="L161" i="8"/>
  <c r="I162" i="8"/>
  <c r="J162" i="8"/>
  <c r="K162" i="8"/>
  <c r="L162" i="8"/>
  <c r="I163" i="8"/>
  <c r="J163" i="8"/>
  <c r="K163" i="8"/>
  <c r="L163" i="8"/>
  <c r="I164" i="8"/>
  <c r="J164" i="8"/>
  <c r="K164" i="8"/>
  <c r="L164" i="8"/>
  <c r="I165" i="8"/>
  <c r="J165" i="8"/>
  <c r="K165" i="8"/>
  <c r="L165" i="8"/>
  <c r="I166" i="8"/>
  <c r="J166" i="8"/>
  <c r="K166" i="8"/>
  <c r="L166" i="8"/>
  <c r="I167" i="8"/>
  <c r="J167" i="8"/>
  <c r="K167" i="8"/>
  <c r="L167" i="8"/>
  <c r="I168" i="8"/>
  <c r="J168" i="8"/>
  <c r="K168" i="8"/>
  <c r="L168" i="8"/>
  <c r="I169" i="8"/>
  <c r="J169" i="8"/>
  <c r="K169" i="8"/>
  <c r="L169" i="8"/>
  <c r="I170" i="8"/>
  <c r="J170" i="8"/>
  <c r="K170" i="8"/>
  <c r="L170" i="8"/>
  <c r="L66" i="8"/>
  <c r="K66" i="8"/>
  <c r="J66" i="8"/>
  <c r="I66" i="8"/>
  <c r="I180" i="7"/>
  <c r="J180" i="7"/>
  <c r="K180" i="7"/>
  <c r="L180" i="7"/>
  <c r="I181" i="7"/>
  <c r="J181" i="7"/>
  <c r="K181" i="7"/>
  <c r="L181" i="7"/>
  <c r="I182" i="7"/>
  <c r="J182" i="7"/>
  <c r="K182" i="7"/>
  <c r="L182" i="7"/>
  <c r="I183" i="7"/>
  <c r="J183" i="7"/>
  <c r="K183" i="7"/>
  <c r="L183" i="7"/>
  <c r="I184" i="7"/>
  <c r="J184" i="7"/>
  <c r="K184" i="7"/>
  <c r="L184" i="7"/>
  <c r="I185" i="7"/>
  <c r="J185" i="7"/>
  <c r="K185" i="7"/>
  <c r="L185" i="7"/>
  <c r="I166" i="7"/>
  <c r="J166" i="7"/>
  <c r="K166" i="7"/>
  <c r="L166" i="7"/>
  <c r="I167" i="7"/>
  <c r="J167" i="7"/>
  <c r="K167" i="7"/>
  <c r="L167" i="7"/>
  <c r="I168" i="7"/>
  <c r="J168" i="7"/>
  <c r="K168" i="7"/>
  <c r="L168" i="7"/>
  <c r="I169" i="7"/>
  <c r="J169" i="7"/>
  <c r="K169" i="7"/>
  <c r="L169" i="7"/>
  <c r="I170" i="7"/>
  <c r="J170" i="7"/>
  <c r="K170" i="7"/>
  <c r="L170" i="7"/>
  <c r="I171" i="7"/>
  <c r="J171" i="7"/>
  <c r="K171" i="7"/>
  <c r="L171" i="7"/>
  <c r="I172" i="7"/>
  <c r="J172" i="7"/>
  <c r="K172" i="7"/>
  <c r="L172" i="7"/>
  <c r="I173" i="7"/>
  <c r="J173" i="7"/>
  <c r="K173" i="7"/>
  <c r="L173" i="7"/>
  <c r="I174" i="7"/>
  <c r="J174" i="7"/>
  <c r="K174" i="7"/>
  <c r="L174" i="7"/>
  <c r="I175" i="7"/>
  <c r="J175" i="7"/>
  <c r="K175" i="7"/>
  <c r="L175" i="7"/>
  <c r="I176" i="7"/>
  <c r="J176" i="7"/>
  <c r="K176" i="7"/>
  <c r="L176" i="7"/>
  <c r="I177" i="7"/>
  <c r="J177" i="7"/>
  <c r="K177" i="7"/>
  <c r="L177" i="7"/>
  <c r="I178" i="7"/>
  <c r="J178" i="7"/>
  <c r="K178" i="7"/>
  <c r="L178" i="7"/>
  <c r="I179" i="7"/>
  <c r="J179" i="7"/>
  <c r="K179" i="7"/>
  <c r="L179" i="7"/>
  <c r="I147" i="7"/>
  <c r="J147" i="7"/>
  <c r="K147" i="7"/>
  <c r="L147" i="7"/>
  <c r="I148" i="7"/>
  <c r="J148" i="7"/>
  <c r="K148" i="7"/>
  <c r="L148" i="7"/>
  <c r="I149" i="7"/>
  <c r="J149" i="7"/>
  <c r="K149" i="7"/>
  <c r="L149" i="7"/>
  <c r="I150" i="7"/>
  <c r="J150" i="7"/>
  <c r="K150" i="7"/>
  <c r="L150" i="7"/>
  <c r="I151" i="7"/>
  <c r="J151" i="7"/>
  <c r="K151" i="7"/>
  <c r="L151" i="7"/>
  <c r="I152" i="7"/>
  <c r="J152" i="7"/>
  <c r="K152" i="7"/>
  <c r="L152" i="7"/>
  <c r="I153" i="7"/>
  <c r="J153" i="7"/>
  <c r="K153" i="7"/>
  <c r="L153" i="7"/>
  <c r="I154" i="7"/>
  <c r="J154" i="7"/>
  <c r="K154" i="7"/>
  <c r="L154" i="7"/>
  <c r="I155" i="7"/>
  <c r="J155" i="7"/>
  <c r="K155" i="7"/>
  <c r="L155" i="7"/>
  <c r="I156" i="7"/>
  <c r="J156" i="7"/>
  <c r="K156" i="7"/>
  <c r="L156" i="7"/>
  <c r="I157" i="7"/>
  <c r="J157" i="7"/>
  <c r="K157" i="7"/>
  <c r="L157" i="7"/>
  <c r="I158" i="7"/>
  <c r="J158" i="7"/>
  <c r="K158" i="7"/>
  <c r="L158" i="7"/>
  <c r="I159" i="7"/>
  <c r="J159" i="7"/>
  <c r="K159" i="7"/>
  <c r="L159" i="7"/>
  <c r="I160" i="7"/>
  <c r="J160" i="7"/>
  <c r="K160" i="7"/>
  <c r="L160" i="7"/>
  <c r="I161" i="7"/>
  <c r="J161" i="7"/>
  <c r="K161" i="7"/>
  <c r="L161" i="7"/>
  <c r="I162" i="7"/>
  <c r="J162" i="7"/>
  <c r="K162" i="7"/>
  <c r="L162" i="7"/>
  <c r="I163" i="7"/>
  <c r="J163" i="7"/>
  <c r="K163" i="7"/>
  <c r="L163" i="7"/>
  <c r="I164" i="7"/>
  <c r="J164" i="7"/>
  <c r="K164" i="7"/>
  <c r="L164" i="7"/>
  <c r="I165" i="7"/>
  <c r="J165" i="7"/>
  <c r="K165" i="7"/>
  <c r="L165" i="7"/>
  <c r="I129" i="7"/>
  <c r="J129" i="7"/>
  <c r="K129" i="7"/>
  <c r="L129" i="7"/>
  <c r="I130" i="7"/>
  <c r="J130" i="7"/>
  <c r="K130" i="7"/>
  <c r="L130" i="7"/>
  <c r="I131" i="7"/>
  <c r="J131" i="7"/>
  <c r="K131" i="7"/>
  <c r="L131" i="7"/>
  <c r="I132" i="7"/>
  <c r="J132" i="7"/>
  <c r="K132" i="7"/>
  <c r="L132" i="7"/>
  <c r="I133" i="7"/>
  <c r="J133" i="7"/>
  <c r="K133" i="7"/>
  <c r="L133" i="7"/>
  <c r="I134" i="7"/>
  <c r="J134" i="7"/>
  <c r="K134" i="7"/>
  <c r="L134" i="7"/>
  <c r="I135" i="7"/>
  <c r="J135" i="7"/>
  <c r="K135" i="7"/>
  <c r="L135" i="7"/>
  <c r="I136" i="7"/>
  <c r="J136" i="7"/>
  <c r="K136" i="7"/>
  <c r="L136" i="7"/>
  <c r="I137" i="7"/>
  <c r="J137" i="7"/>
  <c r="K137" i="7"/>
  <c r="L137" i="7"/>
  <c r="I138" i="7"/>
  <c r="J138" i="7"/>
  <c r="K138" i="7"/>
  <c r="L138" i="7"/>
  <c r="I139" i="7"/>
  <c r="J139" i="7"/>
  <c r="K139" i="7"/>
  <c r="L139" i="7"/>
  <c r="I140" i="7"/>
  <c r="J140" i="7"/>
  <c r="K140" i="7"/>
  <c r="L140" i="7"/>
  <c r="I141" i="7"/>
  <c r="J141" i="7"/>
  <c r="K141" i="7"/>
  <c r="L141" i="7"/>
  <c r="I142" i="7"/>
  <c r="J142" i="7"/>
  <c r="K142" i="7"/>
  <c r="L142" i="7"/>
  <c r="I143" i="7"/>
  <c r="J143" i="7"/>
  <c r="K143" i="7"/>
  <c r="L143" i="7"/>
  <c r="I144" i="7"/>
  <c r="J144" i="7"/>
  <c r="K144" i="7"/>
  <c r="L144" i="7"/>
  <c r="I145" i="7"/>
  <c r="J145" i="7"/>
  <c r="K145" i="7"/>
  <c r="L145" i="7"/>
  <c r="I146" i="7"/>
  <c r="J146" i="7"/>
  <c r="K146" i="7"/>
  <c r="L146" i="7"/>
  <c r="I102" i="7"/>
  <c r="J102" i="7"/>
  <c r="K102" i="7"/>
  <c r="L102" i="7"/>
  <c r="I103" i="7"/>
  <c r="J103" i="7"/>
  <c r="K103" i="7"/>
  <c r="L103" i="7"/>
  <c r="I104" i="7"/>
  <c r="J104" i="7"/>
  <c r="K104" i="7"/>
  <c r="L104" i="7"/>
  <c r="I105" i="7"/>
  <c r="J105" i="7"/>
  <c r="K105" i="7"/>
  <c r="L105" i="7"/>
  <c r="I106" i="7"/>
  <c r="J106" i="7"/>
  <c r="K106" i="7"/>
  <c r="L106" i="7"/>
  <c r="I107" i="7"/>
  <c r="J107" i="7"/>
  <c r="K107" i="7"/>
  <c r="L107" i="7"/>
  <c r="I108" i="7"/>
  <c r="J108" i="7"/>
  <c r="K108" i="7"/>
  <c r="L108" i="7"/>
  <c r="I109" i="7"/>
  <c r="J109" i="7"/>
  <c r="K109" i="7"/>
  <c r="L109" i="7"/>
  <c r="I110" i="7"/>
  <c r="J110" i="7"/>
  <c r="K110" i="7"/>
  <c r="L110" i="7"/>
  <c r="I111" i="7"/>
  <c r="J111" i="7"/>
  <c r="K111" i="7"/>
  <c r="L111" i="7"/>
  <c r="I112" i="7"/>
  <c r="J112" i="7"/>
  <c r="K112" i="7"/>
  <c r="L112" i="7"/>
  <c r="I113" i="7"/>
  <c r="J113" i="7"/>
  <c r="K113" i="7"/>
  <c r="L113" i="7"/>
  <c r="I114" i="7"/>
  <c r="J114" i="7"/>
  <c r="K114" i="7"/>
  <c r="L114" i="7"/>
  <c r="I115" i="7"/>
  <c r="J115" i="7"/>
  <c r="K115" i="7"/>
  <c r="L115" i="7"/>
  <c r="I116" i="7"/>
  <c r="J116" i="7"/>
  <c r="K116" i="7"/>
  <c r="L116" i="7"/>
  <c r="I117" i="7"/>
  <c r="J117" i="7"/>
  <c r="K117" i="7"/>
  <c r="L117" i="7"/>
  <c r="I118" i="7"/>
  <c r="J118" i="7"/>
  <c r="K118" i="7"/>
  <c r="L118" i="7"/>
  <c r="I119" i="7"/>
  <c r="J119" i="7"/>
  <c r="K119" i="7"/>
  <c r="L119" i="7"/>
  <c r="I120" i="7"/>
  <c r="J120" i="7"/>
  <c r="K120" i="7"/>
  <c r="L120" i="7"/>
  <c r="I121" i="7"/>
  <c r="J121" i="7"/>
  <c r="K121" i="7"/>
  <c r="L121" i="7"/>
  <c r="I122" i="7"/>
  <c r="J122" i="7"/>
  <c r="K122" i="7"/>
  <c r="L122" i="7"/>
  <c r="I123" i="7"/>
  <c r="J123" i="7"/>
  <c r="K123" i="7"/>
  <c r="L123" i="7"/>
  <c r="I124" i="7"/>
  <c r="J124" i="7"/>
  <c r="K124" i="7"/>
  <c r="L124" i="7"/>
  <c r="I125" i="7"/>
  <c r="J125" i="7"/>
  <c r="K125" i="7"/>
  <c r="L125" i="7"/>
  <c r="I126" i="7"/>
  <c r="J126" i="7"/>
  <c r="K126" i="7"/>
  <c r="L126" i="7"/>
  <c r="I127" i="7"/>
  <c r="J127" i="7"/>
  <c r="K127" i="7"/>
  <c r="L127" i="7"/>
  <c r="I128" i="7"/>
  <c r="J128" i="7"/>
  <c r="K128" i="7"/>
  <c r="L128" i="7"/>
  <c r="I90" i="7"/>
  <c r="J90" i="7"/>
  <c r="K90" i="7"/>
  <c r="L90" i="7"/>
  <c r="I91" i="7"/>
  <c r="J91" i="7"/>
  <c r="K91" i="7"/>
  <c r="L91" i="7"/>
  <c r="I92" i="7"/>
  <c r="J92" i="7"/>
  <c r="K92" i="7"/>
  <c r="L92" i="7"/>
  <c r="I93" i="7"/>
  <c r="J93" i="7"/>
  <c r="K93" i="7"/>
  <c r="L93" i="7"/>
  <c r="I94" i="7"/>
  <c r="J94" i="7"/>
  <c r="K94" i="7"/>
  <c r="L94" i="7"/>
  <c r="I95" i="7"/>
  <c r="J95" i="7"/>
  <c r="K95" i="7"/>
  <c r="L95" i="7"/>
  <c r="I96" i="7"/>
  <c r="J96" i="7"/>
  <c r="K96" i="7"/>
  <c r="L96" i="7"/>
  <c r="I97" i="7"/>
  <c r="J97" i="7"/>
  <c r="K97" i="7"/>
  <c r="L97" i="7"/>
  <c r="I98" i="7"/>
  <c r="J98" i="7"/>
  <c r="K98" i="7"/>
  <c r="L98" i="7"/>
  <c r="I99" i="7"/>
  <c r="J99" i="7"/>
  <c r="K99" i="7"/>
  <c r="L99" i="7"/>
  <c r="I100" i="7"/>
  <c r="J100" i="7"/>
  <c r="K100" i="7"/>
  <c r="L100" i="7"/>
  <c r="I101" i="7"/>
  <c r="J101" i="7"/>
  <c r="K101" i="7"/>
  <c r="L101" i="7"/>
  <c r="I76" i="7"/>
  <c r="J76" i="7"/>
  <c r="K76" i="7"/>
  <c r="L76" i="7"/>
  <c r="I77" i="7"/>
  <c r="J77" i="7"/>
  <c r="K77" i="7"/>
  <c r="L77" i="7"/>
  <c r="I78" i="7"/>
  <c r="J78" i="7"/>
  <c r="K78" i="7"/>
  <c r="L78" i="7"/>
  <c r="I79" i="7"/>
  <c r="J79" i="7"/>
  <c r="K79" i="7"/>
  <c r="L79" i="7"/>
  <c r="I80" i="7"/>
  <c r="J80" i="7"/>
  <c r="K80" i="7"/>
  <c r="L80" i="7"/>
  <c r="I81" i="7"/>
  <c r="J81" i="7"/>
  <c r="K81" i="7"/>
  <c r="L81" i="7"/>
  <c r="I82" i="7"/>
  <c r="J82" i="7"/>
  <c r="K82" i="7"/>
  <c r="L82" i="7"/>
  <c r="I83" i="7"/>
  <c r="J83" i="7"/>
  <c r="K83" i="7"/>
  <c r="L83" i="7"/>
  <c r="I84" i="7"/>
  <c r="J84" i="7"/>
  <c r="K84" i="7"/>
  <c r="L84" i="7"/>
  <c r="I85" i="7"/>
  <c r="J85" i="7"/>
  <c r="K85" i="7"/>
  <c r="L85" i="7"/>
  <c r="I86" i="7"/>
  <c r="J86" i="7"/>
  <c r="K86" i="7"/>
  <c r="L86" i="7"/>
  <c r="I87" i="7"/>
  <c r="J87" i="7"/>
  <c r="K87" i="7"/>
  <c r="L87" i="7"/>
  <c r="I88" i="7"/>
  <c r="J88" i="7"/>
  <c r="K88" i="7"/>
  <c r="L88" i="7"/>
  <c r="I89" i="7"/>
  <c r="J89" i="7"/>
  <c r="K89" i="7"/>
  <c r="L89" i="7"/>
  <c r="I67" i="7"/>
  <c r="J67" i="7"/>
  <c r="K67" i="7"/>
  <c r="L67" i="7"/>
  <c r="I68" i="7"/>
  <c r="J68" i="7"/>
  <c r="K68" i="7"/>
  <c r="L68" i="7"/>
  <c r="I69" i="7"/>
  <c r="J69" i="7"/>
  <c r="K69" i="7"/>
  <c r="L69" i="7"/>
  <c r="I70" i="7"/>
  <c r="J70" i="7"/>
  <c r="K70" i="7"/>
  <c r="L70" i="7"/>
  <c r="I71" i="7"/>
  <c r="J71" i="7"/>
  <c r="K71" i="7"/>
  <c r="L71" i="7"/>
  <c r="I72" i="7"/>
  <c r="J72" i="7"/>
  <c r="K72" i="7"/>
  <c r="L72" i="7"/>
  <c r="I73" i="7"/>
  <c r="J73" i="7"/>
  <c r="K73" i="7"/>
  <c r="L73" i="7"/>
  <c r="I74" i="7"/>
  <c r="J74" i="7"/>
  <c r="K74" i="7"/>
  <c r="L74" i="7"/>
  <c r="I75" i="7"/>
  <c r="J75" i="7"/>
  <c r="K75" i="7"/>
  <c r="L75" i="7"/>
  <c r="L66" i="7"/>
  <c r="K66" i="7"/>
  <c r="J66" i="7"/>
  <c r="I66" i="7"/>
</calcChain>
</file>

<file path=xl/sharedStrings.xml><?xml version="1.0" encoding="utf-8"?>
<sst xmlns="http://schemas.openxmlformats.org/spreadsheetml/2006/main" count="209" uniqueCount="116">
  <si>
    <t>股票名称</t>
    <rPh sb="0" eb="1">
      <t>gu'piao</t>
    </rPh>
    <rPh sb="2" eb="3">
      <t>ming'cheng</t>
    </rPh>
    <phoneticPr fontId="1" type="noConversion"/>
  </si>
  <si>
    <t>股票代码</t>
    <rPh sb="0" eb="1">
      <t>gu'piao</t>
    </rPh>
    <rPh sb="2" eb="3">
      <t>dai'ma</t>
    </rPh>
    <phoneticPr fontId="1" type="noConversion"/>
  </si>
  <si>
    <t>市场</t>
    <rPh sb="0" eb="1">
      <t>shi'chang</t>
    </rPh>
    <phoneticPr fontId="1" type="noConversion"/>
  </si>
  <si>
    <t>日期</t>
    <rPh sb="0" eb="1">
      <t>ri'qi</t>
    </rPh>
    <phoneticPr fontId="1" type="noConversion"/>
  </si>
  <si>
    <t>时间</t>
    <rPh sb="0" eb="1">
      <t>shi'jian</t>
    </rPh>
    <phoneticPr fontId="1" type="noConversion"/>
  </si>
  <si>
    <t>开盘价</t>
    <rPh sb="0" eb="1">
      <t>kai'pan'jia</t>
    </rPh>
    <phoneticPr fontId="1" type="noConversion"/>
  </si>
  <si>
    <t>成交量</t>
    <rPh sb="0" eb="1">
      <t>cheng'jiao'liang</t>
    </rPh>
    <phoneticPr fontId="1" type="noConversion"/>
  </si>
  <si>
    <t>行情数据</t>
    <rPh sb="0" eb="1">
      <t>hang'qing</t>
    </rPh>
    <rPh sb="2" eb="3">
      <t>shu'ju</t>
    </rPh>
    <phoneticPr fontId="1" type="noConversion"/>
  </si>
  <si>
    <t>上海交易所</t>
    <rPh sb="0" eb="1">
      <t>shang'hai</t>
    </rPh>
    <rPh sb="2" eb="3">
      <t>jiao'yi'suo</t>
    </rPh>
    <phoneticPr fontId="1" type="noConversion"/>
  </si>
  <si>
    <t>复星医药</t>
    <rPh sb="0" eb="1">
      <t>fu'xing</t>
    </rPh>
    <rPh sb="1" eb="2">
      <t>xing</t>
    </rPh>
    <rPh sb="2" eb="3">
      <t>yi'yao</t>
    </rPh>
    <phoneticPr fontId="1" type="noConversion"/>
  </si>
  <si>
    <t>K线关卡</t>
    <rPh sb="1" eb="2">
      <t>xian</t>
    </rPh>
    <rPh sb="2" eb="3">
      <t>gauan</t>
    </rPh>
    <rPh sb="3" eb="4">
      <t>ka</t>
    </rPh>
    <phoneticPr fontId="1" type="noConversion"/>
  </si>
  <si>
    <t>null</t>
  </si>
  <si>
    <t>null</t>
    <phoneticPr fontId="1" type="noConversion"/>
  </si>
  <si>
    <t>公司介绍</t>
    <rPh sb="0" eb="1">
      <t>gong'si</t>
    </rPh>
    <rPh sb="2" eb="3">
      <t>jie'shao</t>
    </rPh>
    <phoneticPr fontId="1" type="noConversion"/>
  </si>
  <si>
    <t>公司是一家从事医药生物行业投资控股型公司，在上海及香港两地上市，,其主要业务有医疗器械、医药工商业及其他,通过其附属公司和联营企业经营药品生产及药品批发、零售业务.公司主要产品有西药类药品、中药类药品.公司已经取得肝病药物、妇科药物、糖尿病药物、临床诊断产品、口腔治疗机等细分市场领先地位.此外,公司还拥有众多药房等药品零售品牌。</t>
    <rPh sb="153" eb="154">
      <t>zhong'duo</t>
    </rPh>
    <phoneticPr fontId="1" type="noConversion"/>
  </si>
  <si>
    <t>控股股东再增持50万H股。</t>
    <rPh sb="4" eb="5">
      <t>zai'ci</t>
    </rPh>
    <phoneticPr fontId="1" type="noConversion"/>
  </si>
  <si>
    <t>分拆医疗器械业务非全资附属公司独立上市获港交所批准。</t>
    <rPh sb="0" eb="1">
      <t>fen'chai</t>
    </rPh>
    <rPh sb="2" eb="3">
      <t>yi'liao'qi'xie</t>
    </rPh>
    <rPh sb="6" eb="7">
      <t>ye'wu</t>
    </rPh>
    <rPh sb="19" eb="20">
      <t>huo'pi'zhun</t>
    </rPh>
    <rPh sb="20" eb="21">
      <t>gang'jiao'suo</t>
    </rPh>
    <phoneticPr fontId="1" type="noConversion"/>
  </si>
  <si>
    <t>控股股东再增持公司7.2万股。</t>
    <rPh sb="0" eb="1">
      <t>kong'gu'gu'dong</t>
    </rPh>
    <rPh sb="4" eb="5">
      <t>zai</t>
    </rPh>
    <phoneticPr fontId="1" type="noConversion"/>
  </si>
  <si>
    <t>央行出手维稳流动性 MLF，投放近5000亿元</t>
    <rPh sb="16" eb="17">
      <t>jin</t>
    </rPh>
    <phoneticPr fontId="1" type="noConversion"/>
  </si>
  <si>
    <t>上市公司回应闪崩：公司经营一切正常。</t>
    <rPh sb="0" eb="1">
      <t>shang'shi</t>
    </rPh>
    <rPh sb="2" eb="3">
      <t>gong'si</t>
    </rPh>
    <rPh sb="4" eb="5">
      <t>hui'ying</t>
    </rPh>
    <rPh sb="6" eb="7">
      <t>shan</t>
    </rPh>
    <rPh sb="7" eb="8">
      <t>beng</t>
    </rPh>
    <rPh sb="9" eb="10">
      <t>gong'si</t>
    </rPh>
    <rPh sb="11" eb="12">
      <t>jing'ying</t>
    </rPh>
    <rPh sb="13" eb="14">
      <t>yi'qie</t>
    </rPh>
    <rPh sb="15" eb="16">
      <t>zheng'chang</t>
    </rPh>
    <phoneticPr fontId="1" type="noConversion"/>
  </si>
  <si>
    <t>控股股东再以1330万元增持50.35万股H股</t>
    <rPh sb="0" eb="1">
      <t>kong'g'gu</t>
    </rPh>
    <rPh sb="3" eb="4">
      <t>dong</t>
    </rPh>
    <rPh sb="4" eb="5">
      <t>zai</t>
    </rPh>
    <rPh sb="5" eb="6">
      <t>yi</t>
    </rPh>
    <phoneticPr fontId="1" type="noConversion"/>
  </si>
  <si>
    <t>突发！网上多家财经媒体转载纷纷传言：母公司董事长失联，疑似卷入反腐风波，该企业相关上市公司股价纷纷暴跌。</t>
    <rPh sb="0" eb="1">
      <t>tu'fa</t>
    </rPh>
    <rPh sb="18" eb="19">
      <t>mu'gong'si</t>
    </rPh>
    <rPh sb="21" eb="22">
      <t>dong'shi'zhang</t>
    </rPh>
    <rPh sb="24" eb="25">
      <t>shi'lian</t>
    </rPh>
    <rPh sb="27" eb="28">
      <t>yi'si</t>
    </rPh>
    <rPh sb="29" eb="30">
      <t>juan'ru</t>
    </rPh>
    <rPh sb="31" eb="32">
      <t>fan'fu</t>
    </rPh>
    <rPh sb="33" eb="34">
      <t>feng'bo</t>
    </rPh>
    <phoneticPr fontId="1" type="noConversion"/>
  </si>
  <si>
    <t>公司控股股东再增持公司H股共计17.75万股，增持金额折合人民币约469万元。</t>
    <rPh sb="6" eb="7">
      <t>zai</t>
    </rPh>
    <rPh sb="7" eb="8">
      <t>zeng'chi</t>
    </rPh>
    <phoneticPr fontId="1" type="noConversion"/>
  </si>
  <si>
    <t>母公司及该公司发表澄清声明：董事长和公司经营一切正常，将保留追究对恶意诽谤媒体追究法律责任之权利</t>
    <rPh sb="0" eb="1">
      <t>mu'gong'si</t>
    </rPh>
    <rPh sb="3" eb="4">
      <t>ji</t>
    </rPh>
    <rPh sb="4" eb="5">
      <t>gai'gong'si</t>
    </rPh>
    <rPh sb="7" eb="8">
      <t>fa'biao</t>
    </rPh>
    <rPh sb="9" eb="10">
      <t>cheng'qing</t>
    </rPh>
    <rPh sb="11" eb="12">
      <t>sheng'ming</t>
    </rPh>
    <rPh sb="14" eb="15">
      <t>dong'shi'zhang</t>
    </rPh>
    <rPh sb="17" eb="18">
      <t>he</t>
    </rPh>
    <rPh sb="18" eb="19">
      <t>gong'si</t>
    </rPh>
    <rPh sb="20" eb="21">
      <t>jing'ying</t>
    </rPh>
    <rPh sb="22" eb="23">
      <t>yi'qie</t>
    </rPh>
    <rPh sb="24" eb="25">
      <t>zheng'chag</t>
    </rPh>
    <rPh sb="27" eb="28">
      <t>jiang</t>
    </rPh>
    <rPh sb="28" eb="29">
      <t>bao liu</t>
    </rPh>
    <rPh sb="30" eb="31">
      <t>zhui'jiu</t>
    </rPh>
    <phoneticPr fontId="1" type="noConversion"/>
  </si>
  <si>
    <t>上月居民消费价格（CPI）同比上涨1.5%，工业生产者出厂价格（PPI）同比上涨5.5%，两者环比变动基本持平。</t>
    <rPh sb="0" eb="1">
      <t>shang'yue</t>
    </rPh>
    <rPh sb="2" eb="3">
      <t>ju'min</t>
    </rPh>
    <rPh sb="4" eb="5">
      <t>xiao'fei</t>
    </rPh>
    <rPh sb="6" eb="7">
      <t>jia'ge</t>
    </rPh>
    <rPh sb="13" eb="14">
      <t>tong'bi</t>
    </rPh>
    <rPh sb="15" eb="16">
      <t>shang'zhang</t>
    </rPh>
    <rPh sb="22" eb="23">
      <t>gong'ye</t>
    </rPh>
    <rPh sb="24" eb="25">
      <t>sheng'chan'zhe</t>
    </rPh>
    <rPh sb="27" eb="28">
      <t>chu'chang</t>
    </rPh>
    <rPh sb="29" eb="30">
      <t>jia'ge</t>
    </rPh>
    <rPh sb="36" eb="37">
      <t>tong'bi</t>
    </rPh>
    <rPh sb="38" eb="39">
      <t>shang'zhang</t>
    </rPh>
    <rPh sb="45" eb="46">
      <t>liang'zhe</t>
    </rPh>
    <rPh sb="47" eb="48">
      <t>huan'bi</t>
    </rPh>
    <rPh sb="49" eb="50">
      <t>bian'dong</t>
    </rPh>
    <rPh sb="51" eb="52">
      <t>ji'ben</t>
    </rPh>
    <rPh sb="53" eb="54">
      <t>chi'ping</t>
    </rPh>
    <phoneticPr fontId="1" type="noConversion"/>
  </si>
  <si>
    <t>控股股东再增持50万股，增持金额约1448万元，近2个月来，累计增持A股及/或H股总金额折合人民币约2.09亿元。</t>
    <rPh sb="4" eb="5">
      <t>zai</t>
    </rPh>
    <rPh sb="24" eb="25">
      <t>jin</t>
    </rPh>
    <rPh sb="26" eb="27">
      <t>ge'yue</t>
    </rPh>
    <rPh sb="28" eb="29">
      <t>lai</t>
    </rPh>
    <phoneticPr fontId="1" type="noConversion"/>
  </si>
  <si>
    <t>上季度GDP同比增6.9% ，统计局表示向好态势更趋明显</t>
    <rPh sb="0" eb="1">
      <t>shang</t>
    </rPh>
    <rPh sb="18" eb="19">
      <t>biao'shi</t>
    </rPh>
    <phoneticPr fontId="1" type="noConversion"/>
  </si>
  <si>
    <t>控股股东再增持公司100.09万股股股份，增持金额约2862万元</t>
    <rPh sb="4" eb="5">
      <t>zai</t>
    </rPh>
    <phoneticPr fontId="1" type="noConversion"/>
  </si>
  <si>
    <t>证监会处罚造谣该司母公司董事长失联的媒体</t>
    <rPh sb="0" eb="1">
      <t>zheng'jian'hui</t>
    </rPh>
    <rPh sb="3" eb="4">
      <t>chu'fa</t>
    </rPh>
    <rPh sb="5" eb="6">
      <t>zao'yao</t>
    </rPh>
    <rPh sb="7" eb="8">
      <t>gai</t>
    </rPh>
    <rPh sb="9" eb="10">
      <t>mu'gong'si</t>
    </rPh>
    <rPh sb="12" eb="13">
      <t>dong'shi'zhang</t>
    </rPh>
    <rPh sb="15" eb="16">
      <t>shi'lian</t>
    </rPh>
    <rPh sb="17" eb="18">
      <t>de</t>
    </rPh>
    <rPh sb="18" eb="19">
      <t>mei'ti</t>
    </rPh>
    <phoneticPr fontId="1" type="noConversion"/>
  </si>
  <si>
    <t>公司针对有关媒体昨日报道，发布公告：收购方案尚未收到印度政府相关部门就本次交易审批结果的通知。</t>
    <rPh sb="2" eb="3">
      <t>zhen'dui</t>
    </rPh>
    <rPh sb="4" eb="5">
      <t>you'guan</t>
    </rPh>
    <rPh sb="6" eb="7">
      <t>mei'ti</t>
    </rPh>
    <rPh sb="8" eb="9">
      <t>zuo'ri</t>
    </rPh>
    <rPh sb="10" eb="11">
      <t>bao'dao</t>
    </rPh>
    <rPh sb="13" eb="14">
      <t>fa'bu</t>
    </rPh>
    <rPh sb="15" eb="16">
      <t>gong'gao</t>
    </rPh>
    <rPh sb="18" eb="19">
      <t>shou'gou</t>
    </rPh>
    <rPh sb="20" eb="21">
      <t>fang'an</t>
    </rPh>
    <phoneticPr fontId="1" type="noConversion"/>
  </si>
  <si>
    <t>公司发布公告将于下周三派发上一年度股息，每股0.35元</t>
    <rPh sb="0" eb="1">
      <t>gong'si</t>
    </rPh>
    <rPh sb="2" eb="3">
      <t>fa'bu</t>
    </rPh>
    <rPh sb="4" eb="5">
      <t>gong'goa</t>
    </rPh>
    <rPh sb="6" eb="7">
      <t>jiang'yu</t>
    </rPh>
    <rPh sb="8" eb="9">
      <t>xia'zhou</t>
    </rPh>
    <rPh sb="10" eb="11">
      <t>san</t>
    </rPh>
    <rPh sb="11" eb="12">
      <t>pai'fa</t>
    </rPh>
    <rPh sb="13" eb="14">
      <t>shang'yi'nian'du</t>
    </rPh>
    <rPh sb="17" eb="18">
      <t>gu'xi</t>
    </rPh>
    <rPh sb="20" eb="21">
      <t>mei'gu</t>
    </rPh>
    <rPh sb="26" eb="27">
      <t>yuan</t>
    </rPh>
    <phoneticPr fontId="1" type="noConversion"/>
  </si>
  <si>
    <t>在中印关系因边境问题再度紧张的背景下，知情人士称，印度准备拒绝复星医药提出的以13亿美元收购一家印度制药公司的要约。</t>
    <rPh sb="0" eb="1">
      <t>zai</t>
    </rPh>
    <rPh sb="1" eb="2">
      <t>zhong'yin</t>
    </rPh>
    <rPh sb="3" eb="4">
      <t>guan'xi</t>
    </rPh>
    <rPh sb="5" eb="6">
      <t>yin</t>
    </rPh>
    <rPh sb="6" eb="7">
      <t>bian'jing</t>
    </rPh>
    <rPh sb="8" eb="9">
      <t>wen'ti</t>
    </rPh>
    <rPh sb="10" eb="11">
      <t>zai'du</t>
    </rPh>
    <rPh sb="12" eb="13">
      <t>jin'zhang</t>
    </rPh>
    <rPh sb="14" eb="15">
      <t>de</t>
    </rPh>
    <rPh sb="15" eb="16">
      <t>bei'jing'xia</t>
    </rPh>
    <phoneticPr fontId="1" type="noConversion"/>
  </si>
  <si>
    <t>市场对于公司收购印度药企巨头受印度监管机构阻挠的消息再度发酵。</t>
    <rPh sb="0" eb="1">
      <t>shi'chang</t>
    </rPh>
    <rPh sb="2" eb="3">
      <t>dui'yu</t>
    </rPh>
    <rPh sb="4" eb="5">
      <t>gong'si</t>
    </rPh>
    <rPh sb="6" eb="7">
      <t>shou'gou</t>
    </rPh>
    <rPh sb="8" eb="9">
      <t>yin'du</t>
    </rPh>
    <rPh sb="10" eb="11">
      <t>yao'qi</t>
    </rPh>
    <rPh sb="12" eb="13">
      <t>ju'tou</t>
    </rPh>
    <rPh sb="14" eb="15">
      <t>shou'zu</t>
    </rPh>
    <rPh sb="15" eb="16">
      <t>yin'du</t>
    </rPh>
    <rPh sb="17" eb="18">
      <t>jian'guan'ji'gou</t>
    </rPh>
    <rPh sb="21" eb="22">
      <t>zu'nao</t>
    </rPh>
    <rPh sb="23" eb="24">
      <t>de</t>
    </rPh>
    <rPh sb="24" eb="25">
      <t>xiao'xi</t>
    </rPh>
    <rPh sb="26" eb="27">
      <t>zai'du</t>
    </rPh>
    <rPh sb="28" eb="29">
      <t>fa'jiao</t>
    </rPh>
    <phoneticPr fontId="1" type="noConversion"/>
  </si>
  <si>
    <t>统计局发布：上月CPI同比上涨1.4%，上月PPI同比上涨5.5%</t>
    <rPh sb="0" eb="1">
      <t>tong'ji'ju</t>
    </rPh>
    <rPh sb="3" eb="4">
      <t>fa'bu</t>
    </rPh>
    <rPh sb="6" eb="7">
      <t>shang'yue</t>
    </rPh>
    <rPh sb="11" eb="12">
      <t>tong'bi</t>
    </rPh>
    <rPh sb="13" eb="14">
      <t>shang'zhang</t>
    </rPh>
    <rPh sb="20" eb="21">
      <t>shng'yue</t>
    </rPh>
    <rPh sb="25" eb="26">
      <t>tong'bi</t>
    </rPh>
    <rPh sb="27" eb="28">
      <t>shnag'zhang</t>
    </rPh>
    <phoneticPr fontId="1" type="noConversion"/>
  </si>
  <si>
    <t>公司发布公告:参与竞购美国药厂股权。  消息人士分析，预计至上收购20%-30%的股份，成交金额约7亿。</t>
    <rPh sb="0" eb="1">
      <t>gong'si</t>
    </rPh>
    <rPh sb="2" eb="3">
      <t>fa'bu</t>
    </rPh>
    <rPh sb="4" eb="5">
      <t>gong'gao</t>
    </rPh>
    <rPh sb="7" eb="8">
      <t>can'yu</t>
    </rPh>
    <rPh sb="9" eb="10">
      <t>jing'gou</t>
    </rPh>
    <rPh sb="11" eb="12">
      <t>mei'gong</t>
    </rPh>
    <rPh sb="12" eb="13">
      <t>guo</t>
    </rPh>
    <rPh sb="13" eb="14">
      <t>yao'chang</t>
    </rPh>
    <rPh sb="15" eb="16">
      <t>gu'quan</t>
    </rPh>
    <rPh sb="20" eb="21">
      <t>xiao'xi</t>
    </rPh>
    <rPh sb="22" eb="23">
      <t>ren'shi</t>
    </rPh>
    <rPh sb="24" eb="25">
      <t>fen'xi</t>
    </rPh>
    <rPh sb="27" eb="28">
      <t>yu'ji</t>
    </rPh>
    <rPh sb="29" eb="30">
      <t>zhi'shang</t>
    </rPh>
    <rPh sb="31" eb="32">
      <t>shou'gou</t>
    </rPh>
    <rPh sb="40" eb="41">
      <t>de</t>
    </rPh>
    <rPh sb="41" eb="42">
      <t>gu'fen</t>
    </rPh>
    <rPh sb="44" eb="45">
      <t>cheng'jiao</t>
    </rPh>
    <rPh sb="46" eb="47">
      <t>jin'e</t>
    </rPh>
    <rPh sb="48" eb="49">
      <t>yue</t>
    </rPh>
    <rPh sb="50" eb="51">
      <t>yi</t>
    </rPh>
    <phoneticPr fontId="1" type="noConversion"/>
  </si>
  <si>
    <t>公司公告：上半年营收84亿，同比增20%，净利润17亿，同比增12.5%，每股收益0.7元。</t>
    <rPh sb="0" eb="1">
      <t>gong'si</t>
    </rPh>
    <rPh sb="2" eb="3">
      <t>gong'gao</t>
    </rPh>
    <rPh sb="5" eb="6">
      <t>shang'ban'nian</t>
    </rPh>
    <rPh sb="8" eb="9">
      <t>ying'shou</t>
    </rPh>
    <rPh sb="12" eb="13">
      <t>yi</t>
    </rPh>
    <rPh sb="14" eb="15">
      <t>tong'bi</t>
    </rPh>
    <rPh sb="16" eb="17">
      <t>zeng</t>
    </rPh>
    <rPh sb="21" eb="22">
      <t>jing'li'run</t>
    </rPh>
    <rPh sb="26" eb="27">
      <t>yi</t>
    </rPh>
    <rPh sb="28" eb="29">
      <t>tong'bi</t>
    </rPh>
    <rPh sb="30" eb="31">
      <t>zeng</t>
    </rPh>
    <rPh sb="37" eb="38">
      <t>mei'gu</t>
    </rPh>
    <rPh sb="39" eb="40">
      <t>shou'yi</t>
    </rPh>
    <rPh sb="44" eb="45">
      <t>yuan</t>
    </rPh>
    <phoneticPr fontId="1" type="noConversion"/>
  </si>
  <si>
    <t>公司公告：全资子公司斥资近7千万美元在二级市场购入美国从事专利药及仿制药的药企约5.2%的股份。</t>
    <rPh sb="0" eb="1">
      <t>gong'si</t>
    </rPh>
    <rPh sb="2" eb="3">
      <t>gong'gao</t>
    </rPh>
    <rPh sb="5" eb="6">
      <t>quan'zi</t>
    </rPh>
    <rPh sb="7" eb="8">
      <t>zi'gong'si</t>
    </rPh>
    <rPh sb="10" eb="11">
      <t>chi'zi</t>
    </rPh>
    <rPh sb="12" eb="13">
      <t>jin</t>
    </rPh>
    <rPh sb="14" eb="15">
      <t>qian</t>
    </rPh>
    <rPh sb="15" eb="16">
      <t>wan</t>
    </rPh>
    <rPh sb="16" eb="17">
      <t>mei'yuan</t>
    </rPh>
    <rPh sb="18" eb="19">
      <t>zai</t>
    </rPh>
    <rPh sb="19" eb="20">
      <t>er'ji'shi'chang</t>
    </rPh>
    <rPh sb="23" eb="24">
      <t>gou'ru</t>
    </rPh>
    <rPh sb="25" eb="26">
      <t>mei'guo</t>
    </rPh>
    <rPh sb="27" eb="28">
      <t>cong'shi</t>
    </rPh>
    <rPh sb="29" eb="30">
      <t>zhuan'li'yao</t>
    </rPh>
    <rPh sb="32" eb="33">
      <t>ji</t>
    </rPh>
    <rPh sb="33" eb="34">
      <t>fang'zhi'yao</t>
    </rPh>
    <rPh sb="36" eb="37">
      <t>de</t>
    </rPh>
    <rPh sb="37" eb="38">
      <t>yao'qi</t>
    </rPh>
    <rPh sb="39" eb="40">
      <t>yue'zhan</t>
    </rPh>
    <rPh sb="44" eb="45">
      <t>de</t>
    </rPh>
    <rPh sb="45" eb="46">
      <t>gu'fen</t>
    </rPh>
    <phoneticPr fontId="1" type="noConversion"/>
  </si>
  <si>
    <t>公司公告：分拆医疗器械业务非全资附属公司独立上市，现正式招股，预计募集8.4亿港元，专业人士分析，上市后预计市值将超50亿港币。</t>
    <rPh sb="0" eb="1">
      <t>gong'si</t>
    </rPh>
    <rPh sb="2" eb="3">
      <t>gong'gao</t>
    </rPh>
    <rPh sb="25" eb="26">
      <t>xian</t>
    </rPh>
    <rPh sb="26" eb="27">
      <t>zheng'shi</t>
    </rPh>
    <rPh sb="28" eb="29">
      <t>zhao'gu</t>
    </rPh>
    <rPh sb="31" eb="32">
      <t>yu'ji</t>
    </rPh>
    <rPh sb="33" eb="34">
      <t>mu'ji</t>
    </rPh>
    <rPh sb="38" eb="39">
      <t>yi</t>
    </rPh>
    <rPh sb="39" eb="40">
      <t>gang'yuan</t>
    </rPh>
    <rPh sb="42" eb="43">
      <t>zhuan'ye</t>
    </rPh>
    <rPh sb="44" eb="45">
      <t>ren'shi</t>
    </rPh>
    <rPh sb="46" eb="47">
      <t>fen'xi</t>
    </rPh>
    <rPh sb="49" eb="50">
      <t>shang'shi</t>
    </rPh>
    <rPh sb="51" eb="52">
      <t>hou</t>
    </rPh>
    <rPh sb="52" eb="53">
      <t>yu'ji</t>
    </rPh>
    <rPh sb="54" eb="55">
      <t>shi'zhi</t>
    </rPh>
    <rPh sb="56" eb="57">
      <t>jiang</t>
    </rPh>
    <rPh sb="57" eb="58">
      <t>chao</t>
    </rPh>
    <rPh sb="60" eb="61">
      <t>yi</t>
    </rPh>
    <rPh sb="61" eb="62">
      <t>gang'bi</t>
    </rPh>
    <phoneticPr fontId="1" type="noConversion"/>
  </si>
  <si>
    <t>该公司斥巨资13亿美元收购印度药企巨头86%股份获中国相关部门批准</t>
    <rPh sb="0" eb="1">
      <t>gai</t>
    </rPh>
    <rPh sb="1" eb="2">
      <t>gong'si</t>
    </rPh>
    <rPh sb="3" eb="4">
      <t>chi'ju'zi</t>
    </rPh>
    <rPh sb="8" eb="9">
      <t>yi</t>
    </rPh>
    <rPh sb="9" eb="10">
      <t>mei'yuan</t>
    </rPh>
    <rPh sb="13" eb="14">
      <t>yin'du</t>
    </rPh>
    <rPh sb="15" eb="16">
      <t>yao'qi</t>
    </rPh>
    <rPh sb="17" eb="18">
      <t>ju'tou</t>
    </rPh>
    <rPh sb="22" eb="23">
      <t>gu'fen</t>
    </rPh>
    <phoneticPr fontId="1" type="noConversion"/>
  </si>
  <si>
    <t>公司公告：调整收购印度制药巨头的方案，下调收购的股份，拟出资约11亿美元，收购74%。分析人士称，中印边境对峙结束的背景下，有利于公司的收购行动</t>
    <rPh sb="0" eb="1">
      <t>gong'si</t>
    </rPh>
    <rPh sb="2" eb="3">
      <t>gong'gao</t>
    </rPh>
    <rPh sb="5" eb="6">
      <t>tiao'zheng</t>
    </rPh>
    <rPh sb="7" eb="8">
      <t>shou'gou</t>
    </rPh>
    <rPh sb="9" eb="10">
      <t>yin'du</t>
    </rPh>
    <rPh sb="11" eb="12">
      <t>zhi'yao</t>
    </rPh>
    <rPh sb="13" eb="14">
      <t>ju'tou</t>
    </rPh>
    <rPh sb="15" eb="16">
      <t>de</t>
    </rPh>
    <rPh sb="16" eb="17">
      <t>fang'an</t>
    </rPh>
    <rPh sb="19" eb="20">
      <t>xia'tiao</t>
    </rPh>
    <rPh sb="21" eb="22">
      <t>shou'g</t>
    </rPh>
    <rPh sb="23" eb="24">
      <t>de</t>
    </rPh>
    <rPh sb="24" eb="25">
      <t>gu'fen</t>
    </rPh>
    <rPh sb="27" eb="28">
      <t>ni</t>
    </rPh>
    <rPh sb="28" eb="29">
      <t>chu'zi</t>
    </rPh>
    <rPh sb="30" eb="31">
      <t>yue</t>
    </rPh>
    <rPh sb="33" eb="34">
      <t>yi</t>
    </rPh>
    <rPh sb="34" eb="35">
      <t>mei'yuan</t>
    </rPh>
    <rPh sb="37" eb="38">
      <t>shou'gou</t>
    </rPh>
    <rPh sb="43" eb="44">
      <t>fen'xi</t>
    </rPh>
    <rPh sb="45" eb="46">
      <t>ren'shi</t>
    </rPh>
    <rPh sb="47" eb="48">
      <t>cheng</t>
    </rPh>
    <rPh sb="49" eb="50">
      <t>zhong'yin</t>
    </rPh>
    <rPh sb="51" eb="52">
      <t>bian'jing</t>
    </rPh>
    <rPh sb="53" eb="54">
      <t>dui'zhi</t>
    </rPh>
    <rPh sb="55" eb="56">
      <t>jie'su</t>
    </rPh>
    <rPh sb="57" eb="58">
      <t>d</t>
    </rPh>
    <rPh sb="58" eb="59">
      <t>bei'jing</t>
    </rPh>
    <rPh sb="60" eb="61">
      <t>xia</t>
    </rPh>
    <rPh sb="62" eb="63">
      <t>you'li</t>
    </rPh>
    <rPh sb="64" eb="65">
      <t>yu</t>
    </rPh>
    <rPh sb="65" eb="66">
      <t>gong'si</t>
    </rPh>
    <rPh sb="67" eb="68">
      <t>d</t>
    </rPh>
    <rPh sb="68" eb="69">
      <t>shou'gou</t>
    </rPh>
    <rPh sb="70" eb="71">
      <t>xing'dong</t>
    </rPh>
    <phoneticPr fontId="1" type="noConversion"/>
  </si>
  <si>
    <t>公司公告：利妥昔单抗注射液类似药获药品生产许可证，适用于利妥昔单抗注射液类似药获药品生产许可证</t>
    <rPh sb="0" eb="1">
      <t>gong'si</t>
    </rPh>
    <rPh sb="2" eb="3">
      <t>gong'gao</t>
    </rPh>
    <rPh sb="25" eb="26">
      <t>shi'yong'yu</t>
    </rPh>
    <phoneticPr fontId="1" type="noConversion"/>
  </si>
  <si>
    <t>统计局公布：上月CPI同比增1.8%，PPI同比增6.3%</t>
    <rPh sb="0" eb="1">
      <t>tong'ji'ju</t>
    </rPh>
    <rPh sb="3" eb="4">
      <t>gong'bu</t>
    </rPh>
    <rPh sb="6" eb="7">
      <t>shang'yue</t>
    </rPh>
    <rPh sb="11" eb="12">
      <t>tong'bi</t>
    </rPh>
    <rPh sb="13" eb="14">
      <t>zeng</t>
    </rPh>
    <rPh sb="22" eb="23">
      <t>tong'bi</t>
    </rPh>
    <rPh sb="24" eb="25">
      <t>zeng</t>
    </rPh>
    <phoneticPr fontId="1" type="noConversion"/>
  </si>
  <si>
    <t>央行宣布定向降准</t>
    <phoneticPr fontId="1" type="noConversion"/>
  </si>
  <si>
    <t>节假日海外股市纷纷大涨，公司H股创新高，另外，公司公告：完成对印度制药巨头股份的收购。</t>
    <phoneticPr fontId="1" type="noConversion"/>
  </si>
  <si>
    <t>统计局公布：上月CPI同比上涨1.6%，PPI同比上涨6.9%</t>
    <rPh sb="0" eb="1">
      <t>tong'ji'ju</t>
    </rPh>
    <rPh sb="3" eb="4">
      <t>gong'bu</t>
    </rPh>
    <rPh sb="6" eb="7">
      <t>shang'yue</t>
    </rPh>
    <rPh sb="11" eb="12">
      <t>tong'bi</t>
    </rPh>
    <rPh sb="13" eb="14">
      <t>shang'zhang</t>
    </rPh>
    <rPh sb="23" eb="24">
      <t>tong'bi</t>
    </rPh>
    <rPh sb="25" eb="26">
      <t>shang'zhang</t>
    </rPh>
    <phoneticPr fontId="1" type="noConversion"/>
  </si>
  <si>
    <t>统计局公布：上季度GDP增速为6.8%</t>
    <rPh sb="6" eb="7">
      <t>shang'ji'du</t>
    </rPh>
    <rPh sb="12" eb="13">
      <t>zeng'su</t>
    </rPh>
    <rPh sb="14" eb="15">
      <t>wei</t>
    </rPh>
    <phoneticPr fontId="1" type="noConversion"/>
  </si>
  <si>
    <t>K线关卡</t>
  </si>
  <si>
    <t>市场</t>
  </si>
  <si>
    <t>股票名称</t>
  </si>
  <si>
    <t>股票代码</t>
  </si>
  <si>
    <t>公司介绍</t>
  </si>
  <si>
    <t>紫金矿业</t>
    <rPh sb="0" eb="1">
      <t>zi'jin'kuang'ye</t>
    </rPh>
    <phoneticPr fontId="1" type="noConversion"/>
  </si>
  <si>
    <t>成交额</t>
    <rPh sb="0" eb="1">
      <t>cheng'jiao'e</t>
    </rPh>
    <phoneticPr fontId="1" type="noConversion"/>
  </si>
  <si>
    <t>公司是一家以金、铜、锌等金属矿产资源勘查和开发为主的大型矿业集团，金、铜、锌三大矿产品产量均居中国矿业行业前三甲，资产遍布国内24个省份及建安大，澳大利亚，刚果等国家</t>
    <rPh sb="0" eb="1">
      <t>gong'si</t>
    </rPh>
    <rPh sb="57" eb="58">
      <t>zi'chan</t>
    </rPh>
    <rPh sb="59" eb="60">
      <t>bian'bu</t>
    </rPh>
    <rPh sb="61" eb="62">
      <t>guo'nei'wai</t>
    </rPh>
    <rPh sb="62" eb="63">
      <t>nei</t>
    </rPh>
    <rPh sb="65" eb="66">
      <t>ge</t>
    </rPh>
    <rPh sb="66" eb="67">
      <t>sheng'fen</t>
    </rPh>
    <rPh sb="68" eb="69">
      <t>ji</t>
    </rPh>
    <rPh sb="69" eb="70">
      <t>jian'an'da</t>
    </rPh>
    <rPh sb="73" eb="74">
      <t>ao'da'li'ya</t>
    </rPh>
    <rPh sb="78" eb="79">
      <t>gang'guo</t>
    </rPh>
    <rPh sb="80" eb="81">
      <t>deng</t>
    </rPh>
    <rPh sb="81" eb="82">
      <t>guo'jia</t>
    </rPh>
    <phoneticPr fontId="1" type="noConversion"/>
  </si>
  <si>
    <t>最高价</t>
    <rPh sb="0" eb="1">
      <t>zui'gao</t>
    </rPh>
    <phoneticPr fontId="1" type="noConversion"/>
  </si>
  <si>
    <t>最低价</t>
    <rPh sb="0" eb="1">
      <t>zui'di</t>
    </rPh>
    <rPh sb="2" eb="3">
      <t>jia</t>
    </rPh>
    <phoneticPr fontId="1" type="noConversion"/>
  </si>
  <si>
    <t>收盘价</t>
    <rPh sb="0" eb="1">
      <t>shou'pan</t>
    </rPh>
    <rPh sb="2" eb="3">
      <t>jia</t>
    </rPh>
    <phoneticPr fontId="1" type="noConversion"/>
  </si>
  <si>
    <t>深圳交易所</t>
    <rPh sb="0" eb="1">
      <t>shen'zhen</t>
    </rPh>
    <rPh sb="2" eb="3">
      <t>jiao'yi'suo</t>
    </rPh>
    <phoneticPr fontId="1" type="noConversion"/>
  </si>
  <si>
    <t>金风科技</t>
    <rPh sb="0" eb="1">
      <t>jin'feng'ke'ji</t>
    </rPh>
    <phoneticPr fontId="1" type="noConversion"/>
  </si>
  <si>
    <t>公司回复深交所问询：某大型保险公司合计持有该公司股份14.99%</t>
    <rPh sb="0" eb="1">
      <t>gong'si</t>
    </rPh>
    <rPh sb="2" eb="3">
      <t>hui'fu</t>
    </rPh>
    <rPh sb="4" eb="5">
      <t>shen'jiao'suo</t>
    </rPh>
    <rPh sb="7" eb="8">
      <t>wen'xun</t>
    </rPh>
    <rPh sb="10" eb="11">
      <t>mou'da'xing</t>
    </rPh>
    <rPh sb="13" eb="14">
      <t>bao'xian</t>
    </rPh>
    <rPh sb="15" eb="16">
      <t>gong'si</t>
    </rPh>
    <rPh sb="17" eb="18">
      <t>he'ji</t>
    </rPh>
    <rPh sb="19" eb="20">
      <t>chi'you</t>
    </rPh>
    <rPh sb="21" eb="22">
      <t>gai</t>
    </rPh>
    <rPh sb="22" eb="23">
      <t>gong'si</t>
    </rPh>
    <rPh sb="24" eb="25">
      <t>gu'fen</t>
    </rPh>
    <phoneticPr fontId="1" type="noConversion"/>
  </si>
  <si>
    <t>受美军袭击叙利亚消息影响，资金涌向避险资产，黄金价格上涨，一众黄金股纷纷上涨。</t>
    <rPh sb="0" eb="1">
      <t>shou</t>
    </rPh>
    <rPh sb="1" eb="2">
      <t>mei'jun</t>
    </rPh>
    <rPh sb="3" eb="4">
      <t>xi'ji</t>
    </rPh>
    <rPh sb="5" eb="6">
      <t>xu'li'ya</t>
    </rPh>
    <rPh sb="8" eb="9">
      <t>xiao'xi</t>
    </rPh>
    <rPh sb="10" eb="11">
      <t>ying'xiang</t>
    </rPh>
    <rPh sb="13" eb="14">
      <t>zi'jin</t>
    </rPh>
    <rPh sb="15" eb="16">
      <t>yong'xiang</t>
    </rPh>
    <rPh sb="17" eb="18">
      <t>bi'xian</t>
    </rPh>
    <rPh sb="19" eb="20">
      <t>zi'chan</t>
    </rPh>
    <rPh sb="22" eb="23">
      <t>huang'jin</t>
    </rPh>
    <rPh sb="24" eb="25">
      <t>jia'ge</t>
    </rPh>
    <rPh sb="26" eb="27">
      <t>shang'zhang</t>
    </rPh>
    <rPh sb="29" eb="30">
      <t>yi'zhong</t>
    </rPh>
    <rPh sb="31" eb="32">
      <t>huang'jin'gu</t>
    </rPh>
    <rPh sb="34" eb="35">
      <t>fen'fen</t>
    </rPh>
    <rPh sb="36" eb="37">
      <t>shang'zhang</t>
    </rPh>
    <phoneticPr fontId="1" type="noConversion"/>
  </si>
  <si>
    <t>公司公告：吉林子公司向金融机构申请授信不超过10亿人民币，公司为子公司提供担保。截止公告日，公司对外担保总额占净资产27%。</t>
    <rPh sb="0" eb="1">
      <t>gong'si'gong'gao</t>
    </rPh>
    <rPh sb="5" eb="6">
      <t>ji'lin</t>
    </rPh>
    <rPh sb="7" eb="8">
      <t>zi'gong'si</t>
    </rPh>
    <rPh sb="10" eb="11">
      <t>xiang</t>
    </rPh>
    <rPh sb="11" eb="12">
      <t>jin'rong</t>
    </rPh>
    <rPh sb="13" eb="14">
      <t>ji'gou</t>
    </rPh>
    <rPh sb="15" eb="16">
      <t>shen'qing</t>
    </rPh>
    <rPh sb="17" eb="18">
      <t>shou'xin</t>
    </rPh>
    <rPh sb="19" eb="20">
      <t>bu'chao</t>
    </rPh>
    <rPh sb="21" eb="22">
      <t>guo</t>
    </rPh>
    <rPh sb="24" eb="25">
      <t>yi</t>
    </rPh>
    <rPh sb="25" eb="26">
      <t>ren'mi'bi</t>
    </rPh>
    <rPh sb="26" eb="27">
      <t>min'bi</t>
    </rPh>
    <rPh sb="29" eb="30">
      <t>gong'si</t>
    </rPh>
    <rPh sb="31" eb="32">
      <t>wei</t>
    </rPh>
    <rPh sb="32" eb="33">
      <t>zi'gong'si</t>
    </rPh>
    <rPh sb="35" eb="36">
      <t>ti'gong</t>
    </rPh>
    <rPh sb="37" eb="38">
      <t>dan'bao</t>
    </rPh>
    <rPh sb="40" eb="41">
      <t>jie'zhi</t>
    </rPh>
    <rPh sb="42" eb="43">
      <t>gong'gao'ri</t>
    </rPh>
    <rPh sb="46" eb="47">
      <t>gong'si</t>
    </rPh>
    <rPh sb="48" eb="49">
      <t>dui'wai</t>
    </rPh>
    <rPh sb="50" eb="51">
      <t>dan'bao</t>
    </rPh>
    <rPh sb="52" eb="53">
      <t>zong'e</t>
    </rPh>
    <rPh sb="54" eb="55">
      <t>zhan</t>
    </rPh>
    <rPh sb="55" eb="56">
      <t>jing</t>
    </rPh>
    <rPh sb="56" eb="57">
      <t>zi'chan</t>
    </rPh>
    <phoneticPr fontId="1" type="noConversion"/>
  </si>
  <si>
    <t xml:space="preserve"> 公司公告：拟为旗下子公司2680万欧元的贷款提供担保</t>
    <rPh sb="1" eb="2">
      <t>gong'si</t>
    </rPh>
    <rPh sb="3" eb="4">
      <t>gong'ao</t>
    </rPh>
    <phoneticPr fontId="1" type="noConversion"/>
  </si>
  <si>
    <t>公司公告：预计一季度净利润约10亿元 同比增加14-15倍</t>
    <rPh sb="0" eb="1">
      <t>gong'si</t>
    </rPh>
    <rPh sb="2" eb="3">
      <t>gogn'gao</t>
    </rPh>
    <phoneticPr fontId="1" type="noConversion"/>
  </si>
  <si>
    <t>公司公告：审议通过同意公司使用额度不超过30亿元的自有闲置资金购买理财产品，在上述额度内资金可以滚动使用</t>
    <rPh sb="0" eb="1">
      <t>gong'si</t>
    </rPh>
    <rPh sb="2" eb="3">
      <t>gong'gao</t>
    </rPh>
    <rPh sb="5" eb="6">
      <t>shen'yi'tong'guo</t>
    </rPh>
    <phoneticPr fontId="1" type="noConversion"/>
  </si>
  <si>
    <t>公司公告：非公开发行不超过15亿股获证监会核准</t>
    <rPh sb="0" eb="1">
      <t>gong'si</t>
    </rPh>
    <rPh sb="2" eb="3">
      <t>gong'gao</t>
    </rPh>
    <rPh sb="18" eb="19">
      <t>zheng'jian'hui</t>
    </rPh>
    <phoneticPr fontId="1" type="noConversion"/>
  </si>
  <si>
    <t>公司公告：完成非公开发行14.9亿股A股，每股发行价3.11元人民币，较收市价折让5.76%。</t>
    <rPh sb="0" eb="1">
      <t>gong'si</t>
    </rPh>
    <rPh sb="2" eb="3">
      <t>gong'gao</t>
    </rPh>
    <rPh sb="5" eb="6">
      <t>wan'cheng</t>
    </rPh>
    <phoneticPr fontId="1" type="noConversion"/>
  </si>
  <si>
    <t>公司公告：大股东提议每10股派现0.6元</t>
    <rPh sb="0" eb="1">
      <t>gong'si</t>
    </rPh>
    <rPh sb="2" eb="3">
      <t>gong'gao</t>
    </rPh>
    <phoneticPr fontId="1" type="noConversion"/>
  </si>
  <si>
    <t>公司公告：对公司全资香港子公司分批增资共计32亿用于刚果（金）铜矿项目和对铜业子公司进行增资1亿。</t>
    <rPh sb="0" eb="1">
      <t>gong'si</t>
    </rPh>
    <rPh sb="2" eb="3">
      <t>gong'gao</t>
    </rPh>
    <rPh sb="10" eb="11">
      <t>xiang'g</t>
    </rPh>
    <rPh sb="15" eb="16">
      <t>fen'pi</t>
    </rPh>
    <rPh sb="17" eb="18">
      <t>zeng'zi</t>
    </rPh>
    <rPh sb="19" eb="20">
      <t>gong'ji</t>
    </rPh>
    <rPh sb="23" eb="24">
      <t>yi</t>
    </rPh>
    <rPh sb="24" eb="25">
      <t>yong'yu</t>
    </rPh>
    <rPh sb="26" eb="27">
      <t>gang'guo'jin</t>
    </rPh>
    <rPh sb="31" eb="32">
      <t>tong'kuang</t>
    </rPh>
    <rPh sb="33" eb="34">
      <t>xiang'mu</t>
    </rPh>
    <rPh sb="35" eb="36">
      <t>he</t>
    </rPh>
    <rPh sb="36" eb="37">
      <t>dui</t>
    </rPh>
    <rPh sb="37" eb="38">
      <t>tong'ye</t>
    </rPh>
    <rPh sb="39" eb="40">
      <t>zi'gong'si</t>
    </rPh>
    <rPh sb="47" eb="48">
      <t>yi</t>
    </rPh>
    <phoneticPr fontId="1" type="noConversion"/>
  </si>
  <si>
    <t>新闻报道：随着公司刚果项目采选冶炼工艺流程全线贯通，进入试生产阶段，公司从黄金巨头升级为有色航母。</t>
    <rPh sb="0" eb="1">
      <t>xin'wen</t>
    </rPh>
    <rPh sb="2" eb="3">
      <t>bao'dao</t>
    </rPh>
    <rPh sb="5" eb="6">
      <t>sui'zeh</t>
    </rPh>
    <rPh sb="7" eb="8">
      <t>gong'si</t>
    </rPh>
    <rPh sb="9" eb="10">
      <t>gang'guo</t>
    </rPh>
    <rPh sb="11" eb="12">
      <t>xiang'mu</t>
    </rPh>
    <rPh sb="13" eb="14">
      <t>cai'xuan'ye'gong'yi'liu'cheng'quan'xian</t>
    </rPh>
    <rPh sb="15" eb="16">
      <t>ye'lian</t>
    </rPh>
    <rPh sb="23" eb="24">
      <t>guan'tong</t>
    </rPh>
    <rPh sb="26" eb="27">
      <t>jin'ru</t>
    </rPh>
    <rPh sb="28" eb="29">
      <t>shi'sheng'chan</t>
    </rPh>
    <rPh sb="31" eb="32">
      <t>jie'duan</t>
    </rPh>
    <rPh sb="34" eb="35">
      <t>gong'si</t>
    </rPh>
    <rPh sb="36" eb="37">
      <t>cong</t>
    </rPh>
    <rPh sb="37" eb="38">
      <t>huang'jin</t>
    </rPh>
    <rPh sb="39" eb="40">
      <t>ju'tou</t>
    </rPh>
    <rPh sb="41" eb="42">
      <t>sheng'ji</t>
    </rPh>
    <rPh sb="43" eb="44">
      <t>wei</t>
    </rPh>
    <rPh sb="44" eb="45">
      <t>you'se'hang'mu</t>
    </rPh>
    <phoneticPr fontId="1" type="noConversion"/>
  </si>
  <si>
    <t>新闻报道：金价触及逾两周高位,现货金升0.7%，报1242.41美元。</t>
    <rPh sb="0" eb="1">
      <t>xin'wen</t>
    </rPh>
    <rPh sb="2" eb="3">
      <t>bao'dao</t>
    </rPh>
    <phoneticPr fontId="1" type="noConversion"/>
  </si>
  <si>
    <t>公司派发派发A股股息每股0.06元</t>
    <rPh sb="0" eb="1">
      <t>gong'si</t>
    </rPh>
    <rPh sb="2" eb="3">
      <t>pai'fa</t>
    </rPh>
    <phoneticPr fontId="1" type="noConversion"/>
  </si>
  <si>
    <t>公司公告：上半年，集团实现营收达375.24亿元(人民币，下同)，同比减少3.51%;归属于上市公司股东的净利润约15.05亿元，同比增加179.63%</t>
    <rPh sb="0" eb="1">
      <t>gong'si</t>
    </rPh>
    <rPh sb="2" eb="3">
      <t>gong'gao</t>
    </rPh>
    <phoneticPr fontId="1" type="noConversion"/>
  </si>
  <si>
    <t>公司副总裁业绩发布会上表示集团比较活跃且正在推进的并购目标不下十个，并明确表示这些优先考虑的并购目标多以黄金和铜为主。</t>
    <rPh sb="0" eb="1">
      <t>gong'si</t>
    </rPh>
    <rPh sb="2" eb="3">
      <t>fu'zong'cai</t>
    </rPh>
    <rPh sb="5" eb="6">
      <t>ye'ji'fa'bu'hui</t>
    </rPh>
    <rPh sb="10" eb="11">
      <t>shang</t>
    </rPh>
    <rPh sb="11" eb="12">
      <t>biao'shi</t>
    </rPh>
    <phoneticPr fontId="1" type="noConversion"/>
  </si>
  <si>
    <t>公司公告：公司公开发行不超过人民币50亿元(含50亿元)公司债券已获得中国证监会核准。</t>
    <rPh sb="0" eb="1">
      <t>gong'si</t>
    </rPh>
    <rPh sb="2" eb="3">
      <t>gong'gao</t>
    </rPh>
    <phoneticPr fontId="1" type="noConversion"/>
  </si>
  <si>
    <t>上月CPI上涨0.9%，PPI 上涨7.6%</t>
    <rPh sb="0" eb="1">
      <t>shang'yue</t>
    </rPh>
    <rPh sb="5" eb="6">
      <t>shang'zhang</t>
    </rPh>
    <rPh sb="16" eb="17">
      <t>shang'zhang</t>
    </rPh>
    <phoneticPr fontId="1" type="noConversion"/>
  </si>
  <si>
    <t>上月CPI价格上涨1.2%，PPI价格上涨6.4%</t>
    <rPh sb="0" eb="1">
      <t>shang'yue</t>
    </rPh>
    <rPh sb="5" eb="6">
      <t>jia'ge</t>
    </rPh>
    <rPh sb="7" eb="8">
      <t>shang'zhang</t>
    </rPh>
    <rPh sb="17" eb="18">
      <t>jia'ge</t>
    </rPh>
    <rPh sb="19" eb="20">
      <t>shang'zhang</t>
    </rPh>
    <phoneticPr fontId="1" type="noConversion"/>
  </si>
  <si>
    <t>上月CPI价格上涨1.5%，PPI价格上涨5.5%</t>
    <rPh sb="0" eb="1">
      <t>shang'yue</t>
    </rPh>
    <rPh sb="5" eb="6">
      <t>jia'ge</t>
    </rPh>
    <rPh sb="7" eb="8">
      <t>shang'zhang</t>
    </rPh>
    <rPh sb="17" eb="18">
      <t>jia'ge</t>
    </rPh>
    <rPh sb="19" eb="20">
      <t>shang'zhang</t>
    </rPh>
    <phoneticPr fontId="1" type="noConversion"/>
  </si>
  <si>
    <t>上月居民消费价格（CPI）同比上涨1.5%，工业生产者出厂价格（PPI）同比上涨5.5%，两者环比变动基本持平。</t>
    <phoneticPr fontId="1" type="noConversion"/>
  </si>
  <si>
    <t>上月CPI同比上涨1.4%，上月PPI同比上涨5.5%</t>
    <phoneticPr fontId="1" type="noConversion"/>
  </si>
  <si>
    <t>上月CPI同比增1.8%，PPI同比增6.3%</t>
    <phoneticPr fontId="1" type="noConversion"/>
  </si>
  <si>
    <t>上季度GDP同比增6.9% ，统计局表示向好态势更趋明显</t>
    <phoneticPr fontId="1" type="noConversion"/>
  </si>
  <si>
    <t>期货行情：锌价末报收23385元/吨，铜价47897元/d吨，金价279元/吨</t>
    <rPh sb="0" eb="1">
      <t>qi'huo</t>
    </rPh>
    <rPh sb="2" eb="3">
      <t>hang'qing</t>
    </rPh>
    <rPh sb="5" eb="6">
      <t>xin</t>
    </rPh>
    <rPh sb="6" eb="7">
      <t>jia</t>
    </rPh>
    <rPh sb="8" eb="9">
      <t>bao'shou</t>
    </rPh>
    <rPh sb="15" eb="16">
      <t>yuan</t>
    </rPh>
    <rPh sb="17" eb="18">
      <t>dun</t>
    </rPh>
    <rPh sb="19" eb="20">
      <t>tong'jia</t>
    </rPh>
    <rPh sb="26" eb="27">
      <t>yuan</t>
    </rPh>
    <rPh sb="29" eb="30">
      <t>dun</t>
    </rPh>
    <rPh sb="31" eb="32">
      <t>jin'jia</t>
    </rPh>
    <rPh sb="36" eb="37">
      <t>yuan</t>
    </rPh>
    <rPh sb="38" eb="39">
      <t>dun</t>
    </rPh>
    <phoneticPr fontId="1" type="noConversion"/>
  </si>
  <si>
    <t>期货行情：锌价末报收21802元/吨，按月环比下跌0.15%，铜价45330元/吨，按月环比下跌2.39%，金价282元/吨，按月环比下跌1.05%</t>
    <rPh sb="0" eb="1">
      <t>qi'huo</t>
    </rPh>
    <rPh sb="2" eb="3">
      <t>hang'qing</t>
    </rPh>
    <rPh sb="5" eb="6">
      <t>xin</t>
    </rPh>
    <rPh sb="6" eb="7">
      <t>jia</t>
    </rPh>
    <rPh sb="8" eb="9">
      <t>bao'shou</t>
    </rPh>
    <rPh sb="15" eb="16">
      <t>yuan</t>
    </rPh>
    <rPh sb="17" eb="18">
      <t>dun</t>
    </rPh>
    <rPh sb="19" eb="20">
      <t>an'yue</t>
    </rPh>
    <rPh sb="21" eb="22">
      <t>huang'b</t>
    </rPh>
    <rPh sb="23" eb="24">
      <t>xia'die</t>
    </rPh>
    <rPh sb="31" eb="32">
      <t>tong'jia</t>
    </rPh>
    <rPh sb="38" eb="39">
      <t>yuan</t>
    </rPh>
    <rPh sb="40" eb="41">
      <t>dun</t>
    </rPh>
    <rPh sb="54" eb="55">
      <t>jin'jia</t>
    </rPh>
    <rPh sb="59" eb="60">
      <t>yuan</t>
    </rPh>
    <rPh sb="61" eb="62">
      <t>dun</t>
    </rPh>
    <rPh sb="63" eb="64">
      <t>an'yue</t>
    </rPh>
    <rPh sb="65" eb="66">
      <t>huan'bi</t>
    </rPh>
    <rPh sb="67" eb="68">
      <t>xia'die</t>
    </rPh>
    <phoneticPr fontId="1" type="noConversion"/>
  </si>
  <si>
    <t>期货行情：锌价末报收21834元/吨，按月环比下跌6.63%，铜价46440元/吨，按月环比下跌3.04%，金价285元/吨，按月环比上涨2.15%</t>
    <rPh sb="0" eb="1">
      <t>qi'huo</t>
    </rPh>
    <rPh sb="2" eb="3">
      <t>hang'qing</t>
    </rPh>
    <rPh sb="5" eb="6">
      <t>xin</t>
    </rPh>
    <rPh sb="6" eb="7">
      <t>jia</t>
    </rPh>
    <rPh sb="8" eb="9">
      <t>bao'shou</t>
    </rPh>
    <rPh sb="15" eb="16">
      <t>yuan</t>
    </rPh>
    <rPh sb="17" eb="18">
      <t>dun</t>
    </rPh>
    <rPh sb="19" eb="20">
      <t>an'yue</t>
    </rPh>
    <rPh sb="21" eb="22">
      <t>huang'b</t>
    </rPh>
    <rPh sb="23" eb="24">
      <t>xia'die</t>
    </rPh>
    <rPh sb="31" eb="32">
      <t>tong'jia</t>
    </rPh>
    <rPh sb="38" eb="39">
      <t>yuan</t>
    </rPh>
    <rPh sb="40" eb="41">
      <t>dun</t>
    </rPh>
    <rPh sb="54" eb="55">
      <t>jin'jia</t>
    </rPh>
    <rPh sb="59" eb="60">
      <t>yuan</t>
    </rPh>
    <rPh sb="61" eb="62">
      <t>dun</t>
    </rPh>
    <rPh sb="63" eb="64">
      <t>an'yue</t>
    </rPh>
    <rPh sb="65" eb="66">
      <t>huan'bi</t>
    </rPh>
    <rPh sb="67" eb="68">
      <t>shang'zhang</t>
    </rPh>
    <phoneticPr fontId="1" type="noConversion"/>
  </si>
  <si>
    <t>期货行情：锌价末报收22668元/吨，按月环比上涨3.97%，铜价47701元/吨，按月环比上涨5.23%，金价276元/吨，按月环比下跌2.03%</t>
    <rPh sb="0" eb="1">
      <t>qi'huo</t>
    </rPh>
    <rPh sb="2" eb="3">
      <t>hang'qing</t>
    </rPh>
    <rPh sb="5" eb="6">
      <t>xin</t>
    </rPh>
    <rPh sb="6" eb="7">
      <t>jia</t>
    </rPh>
    <rPh sb="8" eb="9">
      <t>bao'shou</t>
    </rPh>
    <rPh sb="15" eb="16">
      <t>yuan</t>
    </rPh>
    <rPh sb="17" eb="18">
      <t>dun</t>
    </rPh>
    <rPh sb="19" eb="20">
      <t>an'yue</t>
    </rPh>
    <rPh sb="21" eb="22">
      <t>huang'b</t>
    </rPh>
    <rPh sb="23" eb="24">
      <t>shang'zhang</t>
    </rPh>
    <rPh sb="31" eb="32">
      <t>tong'jia</t>
    </rPh>
    <rPh sb="38" eb="39">
      <t>yuan</t>
    </rPh>
    <rPh sb="40" eb="41">
      <t>dun</t>
    </rPh>
    <rPh sb="46" eb="47">
      <t>shang'zhang</t>
    </rPh>
    <rPh sb="54" eb="55">
      <t>jin'jia</t>
    </rPh>
    <rPh sb="59" eb="60">
      <t>yuan</t>
    </rPh>
    <rPh sb="61" eb="62">
      <t>dun</t>
    </rPh>
    <rPh sb="63" eb="64">
      <t>an'yue</t>
    </rPh>
    <rPh sb="65" eb="66">
      <t>huan'bi</t>
    </rPh>
    <rPh sb="67" eb="68">
      <t>xia'die</t>
    </rPh>
    <phoneticPr fontId="1" type="noConversion"/>
  </si>
  <si>
    <t>期货行情：锌价末报收23314元/吨，按月环比上涨2.85%，铜价52015元/吨，按月环比上涨6.95%，金价278元/吨，按月环比上涨0.72%</t>
    <rPh sb="67" eb="68">
      <t>shang'zhang</t>
    </rPh>
    <phoneticPr fontId="1" type="noConversion"/>
  </si>
  <si>
    <t>期货行情：锌价末报收25589元/吨，按月环比上涨9.76%，铜价53025元/吨，按月环比上涨3.94%，金价280元/吨，按月环比上涨0.72%</t>
    <rPh sb="67" eb="68">
      <t>shang'zhang</t>
    </rPh>
    <phoneticPr fontId="1" type="noConversion"/>
  </si>
  <si>
    <t>买婚房</t>
    <rPh sb="0" eb="1">
      <t>mai'hun'fang</t>
    </rPh>
    <phoneticPr fontId="1" type="noConversion"/>
  </si>
  <si>
    <t>公司是国内最大的风力发电站机组整机制造商，并致力于成为国际化的清洁能源和节能环保整体解决方案提供商，在上海及香港两地上市。</t>
    <rPh sb="0" eb="1">
      <t>gong'si</t>
    </rPh>
    <rPh sb="2" eb="3">
      <t>shi</t>
    </rPh>
    <rPh sb="3" eb="4">
      <t>guo'nei</t>
    </rPh>
    <rPh sb="5" eb="6">
      <t>zui'da</t>
    </rPh>
    <rPh sb="7" eb="8">
      <t>de</t>
    </rPh>
    <rPh sb="8" eb="9">
      <t>feng'li'fa'dian'z'ji'zu</t>
    </rPh>
    <rPh sb="15" eb="16">
      <t>zheng'ji'zhi'zao'shang</t>
    </rPh>
    <rPh sb="21" eb="22">
      <t>bing</t>
    </rPh>
    <rPh sb="50" eb="51">
      <t>zai</t>
    </rPh>
    <rPh sb="51" eb="52">
      <t>shang'hai</t>
    </rPh>
    <rPh sb="53" eb="54">
      <t>ji</t>
    </rPh>
    <rPh sb="54" eb="55">
      <t>xiang'g</t>
    </rPh>
    <rPh sb="56" eb="57">
      <t>liang'di</t>
    </rPh>
    <rPh sb="58" eb="59">
      <t>shang'shi</t>
    </rPh>
    <phoneticPr fontId="1" type="noConversion"/>
  </si>
  <si>
    <t>摆婚宴</t>
    <rPh sb="0" eb="1">
      <t>bai</t>
    </rPh>
    <rPh sb="1" eb="2">
      <t>hun'yan</t>
    </rPh>
    <phoneticPr fontId="1" type="noConversion"/>
  </si>
  <si>
    <t>送彩礼</t>
    <rPh sb="0" eb="1">
      <t>song</t>
    </rPh>
    <rPh sb="1" eb="2">
      <t>cai'li</t>
    </rPh>
    <phoneticPr fontId="1" type="noConversion"/>
  </si>
  <si>
    <t>新闻报道：东北，华北和西北因当前电网接纳能力不足以及风电不稳定的个原因，弃风限电现象严重。</t>
    <rPh sb="0" eb="1">
      <t>xin'wen</t>
    </rPh>
    <rPh sb="2" eb="3">
      <t>bao'dao</t>
    </rPh>
    <rPh sb="5" eb="6">
      <t>dong'bei</t>
    </rPh>
    <rPh sb="8" eb="9">
      <t>hua'bei</t>
    </rPh>
    <rPh sb="10" eb="11">
      <t>he</t>
    </rPh>
    <rPh sb="11" eb="12">
      <t>xi'bei</t>
    </rPh>
    <rPh sb="13" eb="14">
      <t>yin</t>
    </rPh>
    <rPh sb="14" eb="15">
      <t>dang'qian</t>
    </rPh>
    <rPh sb="16" eb="17">
      <t>dain'wang</t>
    </rPh>
    <rPh sb="18" eb="19">
      <t>jie'na'neng'li</t>
    </rPh>
    <rPh sb="22" eb="23">
      <t>bu'u</t>
    </rPh>
    <rPh sb="23" eb="24">
      <t>zu</t>
    </rPh>
    <rPh sb="24" eb="25">
      <t>yi'ji</t>
    </rPh>
    <rPh sb="26" eb="27">
      <t>feng'dian</t>
    </rPh>
    <rPh sb="28" eb="29">
      <t>bu'weng'ding</t>
    </rPh>
    <rPh sb="31" eb="32">
      <t>de</t>
    </rPh>
    <rPh sb="32" eb="33">
      <t>g'yuan'yin</t>
    </rPh>
    <rPh sb="36" eb="37">
      <t>qi'feng'xian'dian</t>
    </rPh>
    <rPh sb="40" eb="41">
      <t>xian'xiang</t>
    </rPh>
    <rPh sb="42" eb="43">
      <t>yan'zhong</t>
    </rPh>
    <phoneticPr fontId="1" type="noConversion"/>
  </si>
  <si>
    <t>公司内部人士回应报道：部分地区弃风限电的影响取决于是长期存在，还是短暂现象，对风电，国家也一直在出台政策支持解决这一问题。</t>
    <rPh sb="0" eb="1">
      <t>gong'si</t>
    </rPh>
    <rPh sb="2" eb="3">
      <t>nei'bu</t>
    </rPh>
    <rPh sb="4" eb="5">
      <t>ren'shi</t>
    </rPh>
    <rPh sb="6" eb="7">
      <t>hui'ying</t>
    </rPh>
    <rPh sb="8" eb="9">
      <t>bao'dao</t>
    </rPh>
    <rPh sb="11" eb="12">
      <t>bu'fen</t>
    </rPh>
    <rPh sb="13" eb="14">
      <t>di'qu</t>
    </rPh>
    <rPh sb="15" eb="16">
      <t>qi'feng'xian'dian</t>
    </rPh>
    <rPh sb="19" eb="20">
      <t>de</t>
    </rPh>
    <rPh sb="20" eb="21">
      <t>ying'xiang</t>
    </rPh>
    <rPh sb="22" eb="23">
      <t>qu'jue'yu</t>
    </rPh>
    <rPh sb="25" eb="26">
      <t>shi</t>
    </rPh>
    <rPh sb="26" eb="27">
      <t>cahng'qi</t>
    </rPh>
    <rPh sb="28" eb="29">
      <t>cun'zai</t>
    </rPh>
    <rPh sb="31" eb="32">
      <t>hai'shi</t>
    </rPh>
    <rPh sb="33" eb="34">
      <t>duan'zhan</t>
    </rPh>
    <rPh sb="35" eb="36">
      <t>xian'xiang</t>
    </rPh>
    <rPh sb="38" eb="39">
      <t>dui</t>
    </rPh>
    <rPh sb="39" eb="40">
      <t>feng'dian</t>
    </rPh>
    <phoneticPr fontId="1" type="noConversion"/>
  </si>
  <si>
    <t>公司公告：预计上半年净利润12亿至18亿元，同比增长0至50%</t>
    <rPh sb="0" eb="1">
      <t>gong'i</t>
    </rPh>
    <rPh sb="2" eb="3">
      <t>gong'gao</t>
    </rPh>
    <rPh sb="5" eb="6">
      <t>yu'ji</t>
    </rPh>
    <rPh sb="7" eb="8">
      <t>shang'ban'nian</t>
    </rPh>
    <rPh sb="10" eb="11">
      <t>jing'li'run</t>
    </rPh>
    <rPh sb="15" eb="16">
      <t>yi</t>
    </rPh>
    <rPh sb="16" eb="17">
      <t>zhi</t>
    </rPh>
    <rPh sb="19" eb="20">
      <t>yi</t>
    </rPh>
    <rPh sb="20" eb="21">
      <t>yuan</t>
    </rPh>
    <rPh sb="22" eb="23">
      <t>tong'bi</t>
    </rPh>
    <rPh sb="24" eb="25">
      <t>zeng'zhang</t>
    </rPh>
    <rPh sb="27" eb="28">
      <t>zhi</t>
    </rPh>
    <phoneticPr fontId="1" type="noConversion"/>
  </si>
  <si>
    <t>公司成功发10亿人币票据 利率5%</t>
    <rPh sb="0" eb="1">
      <t>gong'si</t>
    </rPh>
    <phoneticPr fontId="1" type="noConversion"/>
  </si>
  <si>
    <t>新闻报道：公司子公司引资国开发展基金有限公司（国开行子公司）5400万，投资期10年，分析人士指出该方式是明股实债。</t>
    <rPh sb="0" eb="1">
      <t>xin'wen</t>
    </rPh>
    <rPh sb="2" eb="3">
      <t>bao'dao</t>
    </rPh>
    <rPh sb="5" eb="6">
      <t>gong'si</t>
    </rPh>
    <rPh sb="7" eb="8">
      <t>zi'gong'si</t>
    </rPh>
    <rPh sb="10" eb="11">
      <t>yin'zi</t>
    </rPh>
    <rPh sb="12" eb="13">
      <t>guo'kai</t>
    </rPh>
    <rPh sb="14" eb="15">
      <t>fa'zhan</t>
    </rPh>
    <rPh sb="16" eb="17">
      <t>ji'jin</t>
    </rPh>
    <rPh sb="18" eb="19">
      <t>you'xian</t>
    </rPh>
    <rPh sb="20" eb="21">
      <t>gong'si</t>
    </rPh>
    <rPh sb="23" eb="24">
      <t>guo'kai'hang</t>
    </rPh>
    <rPh sb="26" eb="27">
      <t>zi</t>
    </rPh>
    <rPh sb="27" eb="28">
      <t>gong'si</t>
    </rPh>
    <rPh sb="34" eb="35">
      <t>wan</t>
    </rPh>
    <rPh sb="36" eb="37">
      <t>tou'zi'qi</t>
    </rPh>
    <rPh sb="41" eb="42">
      <t>nian</t>
    </rPh>
    <rPh sb="43" eb="44">
      <t>fen'xi</t>
    </rPh>
    <rPh sb="45" eb="46">
      <t>ren'shi</t>
    </rPh>
    <rPh sb="47" eb="48">
      <t>zhi'chu</t>
    </rPh>
    <rPh sb="49" eb="50">
      <t>gai'fang'shi</t>
    </rPh>
    <rPh sb="52" eb="53">
      <t>shi</t>
    </rPh>
    <rPh sb="53" eb="54">
      <t>ming</t>
    </rPh>
    <rPh sb="54" eb="55">
      <t>gu</t>
    </rPh>
    <rPh sb="55" eb="56">
      <t>shi'ji</t>
    </rPh>
    <rPh sb="56" eb="57">
      <t>zhai</t>
    </rPh>
    <phoneticPr fontId="1" type="noConversion"/>
  </si>
  <si>
    <t>公司公告：与中车下属公司签订数份发电机采购合同，累计金额约82.73亿元，约占公司2015年营业收入的27.52%</t>
    <rPh sb="0" eb="1">
      <t>gong'si</t>
    </rPh>
    <rPh sb="2" eb="3">
      <t>gong'gao</t>
    </rPh>
    <phoneticPr fontId="1" type="noConversion"/>
  </si>
  <si>
    <t>新闻报道：公司拼接出色的技术咨询和项目开发服务，锁定澳洲塔斯马尼亚州的风电项目，该项目计划总投资3.5亿澳元。</t>
    <rPh sb="0" eb="1">
      <t>xin'wen</t>
    </rPh>
    <rPh sb="2" eb="3">
      <t>bao'dao</t>
    </rPh>
    <rPh sb="5" eb="6">
      <t>gong'si</t>
    </rPh>
    <rPh sb="7" eb="8">
      <t>pin'jie</t>
    </rPh>
    <rPh sb="9" eb="10">
      <t>chu'se</t>
    </rPh>
    <rPh sb="11" eb="12">
      <t>de</t>
    </rPh>
    <rPh sb="12" eb="13">
      <t>ji'shu</t>
    </rPh>
    <rPh sb="14" eb="15">
      <t>zi'xun</t>
    </rPh>
    <rPh sb="16" eb="17">
      <t>he</t>
    </rPh>
    <rPh sb="17" eb="18">
      <t>xiang'mu</t>
    </rPh>
    <rPh sb="19" eb="20">
      <t>kai'f</t>
    </rPh>
    <rPh sb="21" eb="22">
      <t>fu'wu</t>
    </rPh>
    <rPh sb="24" eb="25">
      <t>suo'ding</t>
    </rPh>
    <rPh sb="26" eb="27">
      <t>ao'zhou</t>
    </rPh>
    <rPh sb="28" eb="29">
      <t>ta'si'ma'ni</t>
    </rPh>
    <rPh sb="33" eb="34">
      <t>zhou</t>
    </rPh>
    <rPh sb="34" eb="35">
      <t>de</t>
    </rPh>
    <rPh sb="35" eb="36">
      <t>feng'dian</t>
    </rPh>
    <rPh sb="37" eb="38">
      <t>xiang'mu</t>
    </rPh>
    <rPh sb="40" eb="41">
      <t>gai'xiang'mu</t>
    </rPh>
    <rPh sb="43" eb="44">
      <t>ji'hua</t>
    </rPh>
    <rPh sb="45" eb="46">
      <t>zong'tou'zi</t>
    </rPh>
    <rPh sb="51" eb="52">
      <t>yi</t>
    </rPh>
    <rPh sb="52" eb="53">
      <t>ao'y</t>
    </rPh>
    <phoneticPr fontId="1" type="noConversion"/>
  </si>
  <si>
    <t>公司公告：为子公司融资提供担保，担保金额6千万，占总资产0.36%</t>
    <rPh sb="0" eb="1">
      <t>gong'si</t>
    </rPh>
    <rPh sb="2" eb="3">
      <t>gong'gao</t>
    </rPh>
    <rPh sb="5" eb="6">
      <t>wei</t>
    </rPh>
    <rPh sb="6" eb="7">
      <t>zi'gong'si</t>
    </rPh>
    <rPh sb="9" eb="10">
      <t>rong'zi</t>
    </rPh>
    <rPh sb="11" eb="12">
      <t>ti'gong</t>
    </rPh>
    <rPh sb="13" eb="14">
      <t>dan'bao</t>
    </rPh>
    <rPh sb="16" eb="17">
      <t>dan'bao</t>
    </rPh>
    <rPh sb="18" eb="19">
      <t>jin'e</t>
    </rPh>
    <rPh sb="21" eb="22">
      <t>qian'wn</t>
    </rPh>
    <rPh sb="24" eb="25">
      <t>zhan</t>
    </rPh>
    <rPh sb="25" eb="26">
      <t>zong'zi'chan</t>
    </rPh>
    <phoneticPr fontId="1" type="noConversion"/>
  </si>
  <si>
    <t>公司公告：发行风电收费收益权绿色资产支持专项计划进行融资，金额不超过12.75亿元。</t>
    <rPh sb="0" eb="1">
      <t>gong'si</t>
    </rPh>
    <rPh sb="2" eb="3">
      <t>gong'gao</t>
    </rPh>
    <rPh sb="5" eb="6">
      <t>fa'xing</t>
    </rPh>
    <rPh sb="24" eb="25">
      <t>jin'xing</t>
    </rPh>
    <rPh sb="26" eb="27">
      <t>rong'zi</t>
    </rPh>
    <rPh sb="29" eb="30">
      <t>jin'e</t>
    </rPh>
    <rPh sb="31" eb="32">
      <t>bu'chao'guo</t>
    </rPh>
    <rPh sb="39" eb="40">
      <t>yi'yuan</t>
    </rPh>
    <rPh sb="40" eb="41">
      <t>yuan</t>
    </rPh>
    <phoneticPr fontId="1" type="noConversion"/>
  </si>
  <si>
    <t>公司公告：派发上年度股息，每股0.48元。</t>
    <rPh sb="0" eb="1">
      <t>gong'si</t>
    </rPh>
    <rPh sb="2" eb="3">
      <t>gong'gao</t>
    </rPh>
    <rPh sb="5" eb="6">
      <t>pai'fa</t>
    </rPh>
    <rPh sb="7" eb="8">
      <t>shang'nian'du</t>
    </rPh>
    <rPh sb="10" eb="11">
      <t>gu'xi</t>
    </rPh>
    <rPh sb="13" eb="14">
      <t>mei'gu</t>
    </rPh>
    <rPh sb="19" eb="20">
      <t>yuan</t>
    </rPh>
    <phoneticPr fontId="1" type="noConversion"/>
  </si>
  <si>
    <t>公司公告：上半年营收109亿，增幅16%，净利润14.5亿，增长16%</t>
    <rPh sb="0" eb="1">
      <t>gong'si</t>
    </rPh>
    <rPh sb="2" eb="3">
      <t>gong'g</t>
    </rPh>
    <rPh sb="5" eb="6">
      <t>shang'ban'nian</t>
    </rPh>
    <rPh sb="8" eb="9">
      <t>ying'sh</t>
    </rPh>
    <rPh sb="13" eb="14">
      <t>yi</t>
    </rPh>
    <rPh sb="15" eb="16">
      <t>zeng'fu</t>
    </rPh>
    <rPh sb="28" eb="29">
      <t>yi</t>
    </rPh>
    <phoneticPr fontId="1" type="noConversion"/>
  </si>
  <si>
    <t>公司公告：因其任职的美国公司不允许其在中国或香港上市公司担任独立董事，独立董事向公司董事会提出辞职申请，辞去公司独立董事职务</t>
    <rPh sb="0" eb="1">
      <t>gong'si</t>
    </rPh>
    <rPh sb="2" eb="3">
      <t>gong'gao</t>
    </rPh>
    <rPh sb="5" eb="6">
      <t>yin</t>
    </rPh>
    <rPh sb="35" eb="36">
      <t>du'li</t>
    </rPh>
    <rPh sb="37" eb="38">
      <t>dong'shi</t>
    </rPh>
    <phoneticPr fontId="1" type="noConversion"/>
  </si>
  <si>
    <t>上月风力发电量为193亿千瓦时，同比增长23.7%</t>
    <rPh sb="0" eb="1">
      <t>shang'yue</t>
    </rPh>
    <rPh sb="2" eb="3">
      <t>feng'li</t>
    </rPh>
    <rPh sb="4" eb="5">
      <t>fa'dian'liang</t>
    </rPh>
    <rPh sb="7" eb="8">
      <t>wei</t>
    </rPh>
    <rPh sb="11" eb="12">
      <t>yi</t>
    </rPh>
    <rPh sb="12" eb="13">
      <t>qian'wa'shi</t>
    </rPh>
    <rPh sb="16" eb="17">
      <t>tong'bi</t>
    </rPh>
    <rPh sb="18" eb="19">
      <t>zeng'zhang</t>
    </rPh>
    <phoneticPr fontId="1" type="noConversion"/>
  </si>
  <si>
    <t>上月风力发电量为206亿千瓦时，同比增长31.4%</t>
    <rPh sb="0" eb="1">
      <t>shang'yue</t>
    </rPh>
    <rPh sb="2" eb="3">
      <t>feng'li</t>
    </rPh>
    <rPh sb="4" eb="5">
      <t>fa'dian'liang</t>
    </rPh>
    <rPh sb="7" eb="8">
      <t>wei</t>
    </rPh>
    <rPh sb="11" eb="12">
      <t>yi</t>
    </rPh>
    <rPh sb="12" eb="13">
      <t>qian'wa'shi</t>
    </rPh>
    <rPh sb="16" eb="17">
      <t>tong'bi</t>
    </rPh>
    <rPh sb="18" eb="19">
      <t>zeng'zhang</t>
    </rPh>
    <phoneticPr fontId="1" type="noConversion"/>
  </si>
  <si>
    <t>上月风力发电量为173亿千瓦时，同比增长24%</t>
    <phoneticPr fontId="1" type="noConversion"/>
  </si>
  <si>
    <t>上月风力发电量为149亿千瓦时，同比增长40%</t>
    <phoneticPr fontId="1" type="noConversion"/>
  </si>
  <si>
    <t>MA5</t>
    <phoneticPr fontId="1" type="noConversion"/>
  </si>
  <si>
    <t>MA10</t>
    <phoneticPr fontId="1" type="noConversion"/>
  </si>
  <si>
    <t>MA20</t>
    <phoneticPr fontId="1" type="noConversion"/>
  </si>
  <si>
    <t>MA60</t>
    <phoneticPr fontId="1" type="noConversion"/>
  </si>
  <si>
    <t>消息</t>
    <rPh sb="0" eb="1">
      <t>xiao'xi</t>
    </rPh>
    <phoneticPr fontId="1" type="noConversion"/>
  </si>
  <si>
    <t>进入游戏界面展示该部分K线</t>
    <rPh sb="0" eb="1">
      <t>jin'ru</t>
    </rPh>
    <rPh sb="2" eb="3">
      <t>you'xi</t>
    </rPh>
    <rPh sb="4" eb="5">
      <t>jie'mian</t>
    </rPh>
    <rPh sb="6" eb="7">
      <t>zhan'shi</t>
    </rPh>
    <rPh sb="8" eb="9">
      <t>gai'bu'fen</t>
    </rPh>
    <rPh sb="9" eb="10">
      <t>bu'fen</t>
    </rPh>
    <rPh sb="12" eb="13">
      <t>xian</t>
    </rPh>
    <phoneticPr fontId="1" type="noConversion"/>
  </si>
  <si>
    <t xml:space="preserve">进入游戏界面展示该部分K线
</t>
    <phoneticPr fontId="1" type="noConversion"/>
  </si>
  <si>
    <r>
      <t>在监管维稳汇率</t>
    </r>
    <r>
      <rPr>
        <sz val="12"/>
        <color rgb="FFFF0000"/>
        <rFont val="DengXian"/>
        <family val="2"/>
        <charset val="134"/>
        <scheme val="minor"/>
      </rPr>
      <t>的</t>
    </r>
    <r>
      <rPr>
        <sz val="12"/>
        <color rgb="FFFF0000"/>
        <rFont val="DengXian (正文)"/>
        <family val="3"/>
        <charset val="134"/>
      </rPr>
      <t>背景下</t>
    </r>
    <r>
      <rPr>
        <sz val="12"/>
        <color theme="1"/>
        <rFont val="DengXian"/>
        <family val="2"/>
        <charset val="134"/>
        <scheme val="minor"/>
      </rPr>
      <t>，市场传言称，监管机构点名要求银行摸底该公司控股股东海外并购借贷情况，受此影响，该公司股价闪崩。</t>
    </r>
    <rPh sb="0" eb="1">
      <t>zai</t>
    </rPh>
    <rPh sb="1" eb="2">
      <t>jian'guan</t>
    </rPh>
    <rPh sb="3" eb="4">
      <t>wei'we</t>
    </rPh>
    <rPh sb="5" eb="6">
      <t>hui'lv</t>
    </rPh>
    <rPh sb="7" eb="8">
      <t>de</t>
    </rPh>
    <rPh sb="8" eb="9">
      <t>bei'jing</t>
    </rPh>
    <rPh sb="10" eb="11">
      <t>xia</t>
    </rPh>
    <rPh sb="12" eb="13">
      <t>shi'chang</t>
    </rPh>
    <rPh sb="18" eb="19">
      <t>jian'guan</t>
    </rPh>
    <rPh sb="20" eb="21">
      <t>ji'gou</t>
    </rPh>
    <rPh sb="22" eb="23">
      <t>dian'ming</t>
    </rPh>
    <rPh sb="24" eb="25">
      <t>yao'qiu</t>
    </rPh>
    <rPh sb="30" eb="31">
      <t>gai'qi'ye</t>
    </rPh>
    <rPh sb="31" eb="32">
      <t>gong'si</t>
    </rPh>
    <rPh sb="33" eb="34">
      <t>kong'gu</t>
    </rPh>
    <rPh sb="35" eb="36">
      <t>gu'dong</t>
    </rPh>
    <rPh sb="37" eb="38">
      <t>hai'wai</t>
    </rPh>
    <rPh sb="39" eb="40">
      <t>bing'gou</t>
    </rPh>
    <rPh sb="41" eb="42">
      <t>jie'dai</t>
    </rPh>
    <rPh sb="47" eb="48">
      <t>ci</t>
    </rPh>
    <rPh sb="48" eb="49">
      <t>ying'xiang</t>
    </rPh>
    <rPh sb="51" eb="52">
      <t>gai'gong'si</t>
    </rPh>
    <rPh sb="54" eb="55">
      <t>gu'jia</t>
    </rPh>
    <rPh sb="56" eb="57">
      <t>shan</t>
    </rPh>
    <rPh sb="57" eb="58">
      <t>beng'kui</t>
    </rPh>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</si>
</sst>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00"/>
    <numFmt numFmtId="177" formatCode="0.00_ "/>
  </numFmts>
  <fonts count="11" x14ac:knownFonts="1">
    <font>
      <sz val="12"/>
      <color theme="1"/>
      <name val="DengXian"/>
      <family val="2"/>
      <charset val="134"/>
      <scheme val="minor"/>
    </font>
    <font>
      <sz val="9"/>
      <name val="DengXian"/>
      <family val="2"/>
      <charset val="134"/>
      <scheme val="minor"/>
    </font>
    <font>
      <u/>
      <sz val="12"/>
      <color theme="10"/>
      <name val="DengXian"/>
      <family val="2"/>
      <charset val="134"/>
      <scheme val="minor"/>
    </font>
    <font>
      <u/>
      <sz val="12"/>
      <color theme="11"/>
      <name val="DengXian"/>
      <family val="2"/>
      <charset val="134"/>
      <scheme val="minor"/>
    </font>
    <font>
      <sz val="12"/>
      <color rgb="FF000000"/>
      <name val="DengXian"/>
      <family val="4"/>
      <charset val="134"/>
      <scheme val="minor"/>
    </font>
    <font>
      <sz val="12"/>
      <color rgb="FF000000"/>
      <name val="Times New Roman"/>
      <family val="1"/>
    </font>
    <font>
      <sz val="12"/>
      <color theme="0"/>
      <name val="DengXian"/>
      <family val="2"/>
      <charset val="134"/>
      <scheme val="minor"/>
    </font>
    <font>
      <sz val="12"/>
      <color theme="0" tint="-0.34998626667073579"/>
      <name val="DengXian"/>
      <family val="2"/>
      <charset val="134"/>
      <scheme val="minor"/>
    </font>
    <font>
      <sz val="12"/>
      <color theme="0" tint="-0.499984740745262"/>
      <name val="DengXian"/>
      <family val="2"/>
      <charset val="134"/>
      <scheme val="minor"/>
    </font>
    <font>
      <sz val="12"/>
      <color rgb="FFFF0000"/>
      <name val="DengXian"/>
      <family val="2"/>
      <charset val="134"/>
      <scheme val="minor"/>
    </font>
    <font>
      <sz val="12"/>
      <color rgb="FFFF0000"/>
      <name val="DengXian (正文)"/>
      <family val="3"/>
      <charset val="134"/>
    </font>
  </fonts>
  <fills count="4">
    <fill>
      <patternFill patternType="none"/>
    </fill>
    <fill>
      <patternFill patternType="gray125"/>
    </fill>
    <fill>
      <patternFill patternType="solid">
        <fgColor theme="0" tint="-0.499984740745262"/>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23">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25">
    <xf numFmtId="0" fontId="0" fillId="0" borderId="0" xfId="0"/>
    <xf numFmtId="0" fontId="0" fillId="0" borderId="1" xfId="0" applyBorder="1" applyAlignment="1">
      <alignment horizontal="center"/>
    </xf>
    <xf numFmtId="0" fontId="0" fillId="0" borderId="1" xfId="0" applyFill="1" applyBorder="1" applyAlignment="1">
      <alignment horizontal="center"/>
    </xf>
    <xf numFmtId="0" fontId="4" fillId="0" borderId="0" xfId="0" applyFont="1"/>
    <xf numFmtId="0" fontId="5" fillId="0" borderId="0" xfId="0" applyFont="1"/>
    <xf numFmtId="0" fontId="4" fillId="0" borderId="0" xfId="0" applyFont="1" applyAlignment="1"/>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14" fontId="0" fillId="0" borderId="0" xfId="0" applyNumberFormat="1"/>
    <xf numFmtId="176" fontId="4" fillId="0" borderId="4" xfId="0" applyNumberFormat="1" applyFont="1" applyBorder="1" applyAlignment="1">
      <alignment horizontal="center"/>
    </xf>
    <xf numFmtId="0" fontId="0" fillId="0" borderId="0" xfId="0" applyAlignment="1"/>
    <xf numFmtId="177" fontId="0" fillId="0" borderId="0" xfId="0" applyNumberFormat="1"/>
    <xf numFmtId="14" fontId="7" fillId="0" borderId="0" xfId="0" applyNumberFormat="1" applyFont="1"/>
    <xf numFmtId="0" fontId="7" fillId="0" borderId="0" xfId="0" applyFont="1"/>
    <xf numFmtId="14" fontId="6" fillId="2" borderId="0" xfId="0" applyNumberFormat="1" applyFont="1" applyFill="1"/>
    <xf numFmtId="0" fontId="6" fillId="2" borderId="0" xfId="0" applyFont="1" applyFill="1"/>
    <xf numFmtId="177" fontId="6" fillId="2" borderId="0" xfId="0" applyNumberFormat="1" applyFont="1" applyFill="1"/>
    <xf numFmtId="177" fontId="0" fillId="3" borderId="1" xfId="0" applyNumberFormat="1" applyFont="1" applyFill="1" applyBorder="1"/>
    <xf numFmtId="14" fontId="8" fillId="0" borderId="0" xfId="0" applyNumberFormat="1" applyFont="1"/>
    <xf numFmtId="0" fontId="8" fillId="0" borderId="0" xfId="0" applyFont="1"/>
    <xf numFmtId="0" fontId="6" fillId="2" borderId="0" xfId="0" applyFont="1" applyFill="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cellXfs>
  <cellStyles count="23">
    <cellStyle name="常规" xfId="0" builtinId="0"/>
    <cellStyle name="超链接" xfId="1" builtinId="8" hidden="1"/>
    <cellStyle name="超链接" xfId="3" builtinId="8" hidden="1"/>
    <cellStyle name="超链接" xfId="5" builtinId="8" hidden="1"/>
    <cellStyle name="超链接" xfId="7" builtinId="8" hidden="1"/>
    <cellStyle name="已访问的超链接" xfId="2" builtinId="9" hidden="1"/>
    <cellStyle name="已访问的超链接" xfId="4" builtinId="9" hidden="1"/>
    <cellStyle name="已访问的超链接" xfId="6" builtinId="9" hidden="1"/>
    <cellStyle name="已访问的超链接" xfId="8" builtinId="9" hidden="1"/>
    <cellStyle name="已访问的超链接" xfId="9" builtinId="9" hidden="1"/>
    <cellStyle name="已访问的超链接" xfId="10" builtinId="9" hidden="1"/>
    <cellStyle name="已访问的超链接" xfId="11" builtinId="9" hidden="1"/>
    <cellStyle name="已访问的超链接" xfId="12" builtinId="9" hidden="1"/>
    <cellStyle name="已访问的超链接" xfId="13" builtinId="9" hidden="1"/>
    <cellStyle name="已访问的超链接" xfId="14" builtinId="9" hidden="1"/>
    <cellStyle name="已访问的超链接" xfId="15" builtinId="9" hidden="1"/>
    <cellStyle name="已访问的超链接" xfId="16" builtinId="9" hidden="1"/>
    <cellStyle name="已访问的超链接" xfId="17" builtinId="9" hidden="1"/>
    <cellStyle name="已访问的超链接" xfId="18" builtinId="9" hidden="1"/>
    <cellStyle name="已访问的超链接" xfId="19" builtinId="9" hidden="1"/>
    <cellStyle name="已访问的超链接" xfId="20" builtinId="9" hidden="1"/>
    <cellStyle name="已访问的超链接" xfId="21" builtinId="9" hidden="1"/>
    <cellStyle name="已访问的超链接" xfId="22" builtinId="9" hidden="1"/>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gu.qq.com/sh6001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5"/>
  <sheetViews>
    <sheetView tabSelected="1" showRuler="0" topLeftCell="A80" zoomScale="120" zoomScaleNormal="120" workbookViewId="0">
      <selection activeCell="A100" sqref="A100:XFD100"/>
    </sheetView>
  </sheetViews>
  <sheetFormatPr baseColWidth="10" defaultRowHeight="16" x14ac:dyDescent="0.2"/>
  <cols>
    <col min="9" max="12" width="10.83203125" style="13"/>
  </cols>
  <sheetData>
    <row r="1" spans="1:13" x14ac:dyDescent="0.2">
      <c r="A1" s="1" t="s">
        <v>10</v>
      </c>
      <c r="B1" s="1" t="s">
        <v>2</v>
      </c>
      <c r="C1" s="1" t="s">
        <v>0</v>
      </c>
      <c r="D1" s="1" t="s">
        <v>1</v>
      </c>
      <c r="E1" s="2" t="s">
        <v>13</v>
      </c>
    </row>
    <row r="2" spans="1:13" x14ac:dyDescent="0.2">
      <c r="A2" s="1" t="s">
        <v>91</v>
      </c>
      <c r="B2" s="1" t="s">
        <v>8</v>
      </c>
      <c r="C2" s="1" t="s">
        <v>9</v>
      </c>
      <c r="D2" s="1">
        <v>600196</v>
      </c>
      <c r="E2" s="2" t="s">
        <v>14</v>
      </c>
    </row>
    <row r="4" spans="1:13" x14ac:dyDescent="0.2">
      <c r="A4" t="s">
        <v>7</v>
      </c>
    </row>
    <row r="5" spans="1:13" x14ac:dyDescent="0.2">
      <c r="A5" t="s">
        <v>3</v>
      </c>
      <c r="B5" t="s">
        <v>4</v>
      </c>
      <c r="C5" t="s">
        <v>5</v>
      </c>
      <c r="D5" t="s">
        <v>54</v>
      </c>
      <c r="E5" t="s">
        <v>55</v>
      </c>
      <c r="F5" t="s">
        <v>56</v>
      </c>
      <c r="G5" t="s">
        <v>6</v>
      </c>
      <c r="H5" t="s">
        <v>52</v>
      </c>
      <c r="I5" s="13" t="s">
        <v>108</v>
      </c>
      <c r="J5" s="13" t="s">
        <v>109</v>
      </c>
      <c r="K5" s="13" t="s">
        <v>110</v>
      </c>
      <c r="L5" s="13" t="s">
        <v>111</v>
      </c>
      <c r="M5" s="13" t="s">
        <v>112</v>
      </c>
    </row>
    <row r="6" spans="1:13" x14ac:dyDescent="0.2">
      <c r="A6" s="14">
        <v>42761</v>
      </c>
      <c r="B6" s="15"/>
      <c r="C6" s="15">
        <v>25</v>
      </c>
      <c r="D6" s="15">
        <v>25.11</v>
      </c>
      <c r="E6" s="15">
        <v>24.91</v>
      </c>
      <c r="F6" s="15">
        <v>24.92</v>
      </c>
      <c r="G6" s="15">
        <v>5819404</v>
      </c>
      <c r="H6" s="15">
        <v>145583392</v>
      </c>
    </row>
    <row r="7" spans="1:13" x14ac:dyDescent="0.2">
      <c r="A7" s="14">
        <v>42769</v>
      </c>
      <c r="B7" s="15"/>
      <c r="C7" s="15">
        <v>24.93</v>
      </c>
      <c r="D7" s="15">
        <v>25.36</v>
      </c>
      <c r="E7" s="15">
        <v>24.93</v>
      </c>
      <c r="F7" s="15">
        <v>25.15</v>
      </c>
      <c r="G7" s="15">
        <v>6005390</v>
      </c>
      <c r="H7" s="15">
        <v>151295088</v>
      </c>
    </row>
    <row r="8" spans="1:13" x14ac:dyDescent="0.2">
      <c r="A8" s="14">
        <v>42772</v>
      </c>
      <c r="B8" s="15"/>
      <c r="C8" s="15">
        <v>25.08</v>
      </c>
      <c r="D8" s="15">
        <v>25.71</v>
      </c>
      <c r="E8" s="15">
        <v>25</v>
      </c>
      <c r="F8" s="15">
        <v>25.31</v>
      </c>
      <c r="G8" s="15">
        <v>12761770</v>
      </c>
      <c r="H8" s="15">
        <v>325002880</v>
      </c>
    </row>
    <row r="9" spans="1:13" x14ac:dyDescent="0.2">
      <c r="A9" s="14">
        <v>42773</v>
      </c>
      <c r="B9" s="15"/>
      <c r="C9" s="15">
        <v>25.4</v>
      </c>
      <c r="D9" s="15">
        <v>25.68</v>
      </c>
      <c r="E9" s="15">
        <v>25.28</v>
      </c>
      <c r="F9" s="15">
        <v>25.67</v>
      </c>
      <c r="G9" s="15">
        <v>10255709</v>
      </c>
      <c r="H9" s="15">
        <v>260907696</v>
      </c>
    </row>
    <row r="10" spans="1:13" x14ac:dyDescent="0.2">
      <c r="A10" s="14">
        <v>42774</v>
      </c>
      <c r="B10" s="15"/>
      <c r="C10" s="15">
        <v>25.58</v>
      </c>
      <c r="D10" s="15">
        <v>25.72</v>
      </c>
      <c r="E10" s="15">
        <v>25.45</v>
      </c>
      <c r="F10" s="15">
        <v>25.51</v>
      </c>
      <c r="G10" s="15">
        <v>6916984</v>
      </c>
      <c r="H10" s="15">
        <v>176730224</v>
      </c>
    </row>
    <row r="11" spans="1:13" x14ac:dyDescent="0.2">
      <c r="A11" s="14">
        <v>42775</v>
      </c>
      <c r="B11" s="15"/>
      <c r="C11" s="15">
        <v>25.51</v>
      </c>
      <c r="D11" s="15">
        <v>25.57</v>
      </c>
      <c r="E11" s="15">
        <v>24.87</v>
      </c>
      <c r="F11" s="15">
        <v>24.99</v>
      </c>
      <c r="G11" s="15">
        <v>12923148</v>
      </c>
      <c r="H11" s="15">
        <v>325239328</v>
      </c>
    </row>
    <row r="12" spans="1:13" x14ac:dyDescent="0.2">
      <c r="A12" s="14">
        <v>42776</v>
      </c>
      <c r="B12" s="15"/>
      <c r="C12" s="15">
        <v>24.99</v>
      </c>
      <c r="D12" s="15">
        <v>25.41</v>
      </c>
      <c r="E12" s="15">
        <v>24.96</v>
      </c>
      <c r="F12" s="15">
        <v>25.24</v>
      </c>
      <c r="G12" s="15">
        <v>10749519</v>
      </c>
      <c r="H12" s="15">
        <v>271332608</v>
      </c>
    </row>
    <row r="13" spans="1:13" x14ac:dyDescent="0.2">
      <c r="A13" s="14">
        <v>42779</v>
      </c>
      <c r="B13" s="15"/>
      <c r="C13" s="15">
        <v>25.31</v>
      </c>
      <c r="D13" s="15">
        <v>25.5</v>
      </c>
      <c r="E13" s="15">
        <v>25.02</v>
      </c>
      <c r="F13" s="15">
        <v>25.3</v>
      </c>
      <c r="G13" s="15">
        <v>8713040</v>
      </c>
      <c r="H13" s="15">
        <v>220594496</v>
      </c>
    </row>
    <row r="14" spans="1:13" x14ac:dyDescent="0.2">
      <c r="A14" s="14">
        <v>42780</v>
      </c>
      <c r="B14" s="15"/>
      <c r="C14" s="15">
        <v>25.23</v>
      </c>
      <c r="D14" s="15">
        <v>25.35</v>
      </c>
      <c r="E14" s="15">
        <v>25</v>
      </c>
      <c r="F14" s="15">
        <v>25.19</v>
      </c>
      <c r="G14" s="15">
        <v>6169011</v>
      </c>
      <c r="H14" s="15">
        <v>155110656</v>
      </c>
    </row>
    <row r="15" spans="1:13" x14ac:dyDescent="0.2">
      <c r="A15" s="14">
        <v>42781</v>
      </c>
      <c r="B15" s="15"/>
      <c r="C15" s="15">
        <v>25.14</v>
      </c>
      <c r="D15" s="15">
        <v>25.24</v>
      </c>
      <c r="E15" s="15">
        <v>24.78</v>
      </c>
      <c r="F15" s="15">
        <v>24.85</v>
      </c>
      <c r="G15" s="15">
        <v>7832470</v>
      </c>
      <c r="H15" s="15">
        <v>195366352</v>
      </c>
    </row>
    <row r="16" spans="1:13" x14ac:dyDescent="0.2">
      <c r="A16" s="14">
        <v>42782</v>
      </c>
      <c r="B16" s="15"/>
      <c r="C16" s="15">
        <v>24.75</v>
      </c>
      <c r="D16" s="15">
        <v>25.04</v>
      </c>
      <c r="E16" s="15">
        <v>24.74</v>
      </c>
      <c r="F16" s="15">
        <v>25.01</v>
      </c>
      <c r="G16" s="15">
        <v>3964390</v>
      </c>
      <c r="H16" s="15">
        <v>98658856</v>
      </c>
    </row>
    <row r="17" spans="1:8" x14ac:dyDescent="0.2">
      <c r="A17" s="14">
        <v>42783</v>
      </c>
      <c r="B17" s="15"/>
      <c r="C17" s="15">
        <v>25.07</v>
      </c>
      <c r="D17" s="15">
        <v>25.39</v>
      </c>
      <c r="E17" s="15">
        <v>24.96</v>
      </c>
      <c r="F17" s="15">
        <v>25.03</v>
      </c>
      <c r="G17" s="15">
        <v>5813079</v>
      </c>
      <c r="H17" s="15">
        <v>146451312</v>
      </c>
    </row>
    <row r="18" spans="1:8" x14ac:dyDescent="0.2">
      <c r="A18" s="14">
        <v>42786</v>
      </c>
      <c r="B18" s="15"/>
      <c r="C18" s="15">
        <v>25.07</v>
      </c>
      <c r="D18" s="15">
        <v>25.47</v>
      </c>
      <c r="E18" s="15">
        <v>25.02</v>
      </c>
      <c r="F18" s="15">
        <v>25.32</v>
      </c>
      <c r="G18" s="15">
        <v>10106445</v>
      </c>
      <c r="H18" s="15">
        <v>255506640</v>
      </c>
    </row>
    <row r="19" spans="1:8" x14ac:dyDescent="0.2">
      <c r="A19" s="14">
        <v>42787</v>
      </c>
      <c r="B19" s="15"/>
      <c r="C19" s="15">
        <v>25.32</v>
      </c>
      <c r="D19" s="15">
        <v>26.05</v>
      </c>
      <c r="E19" s="15">
        <v>25.32</v>
      </c>
      <c r="F19" s="15">
        <v>25.99</v>
      </c>
      <c r="G19" s="15">
        <v>18474541</v>
      </c>
      <c r="H19" s="15">
        <v>477141920</v>
      </c>
    </row>
    <row r="20" spans="1:8" x14ac:dyDescent="0.2">
      <c r="A20" s="14">
        <v>42788</v>
      </c>
      <c r="B20" s="15"/>
      <c r="C20" s="15">
        <v>25.94</v>
      </c>
      <c r="D20" s="15">
        <v>26</v>
      </c>
      <c r="E20" s="15">
        <v>25.61</v>
      </c>
      <c r="F20" s="15">
        <v>25.71</v>
      </c>
      <c r="G20" s="15">
        <v>7116538</v>
      </c>
      <c r="H20" s="15">
        <v>183361008</v>
      </c>
    </row>
    <row r="21" spans="1:8" x14ac:dyDescent="0.2">
      <c r="A21" s="14">
        <v>42789</v>
      </c>
      <c r="B21" s="15"/>
      <c r="C21" s="15">
        <v>25.74</v>
      </c>
      <c r="D21" s="15">
        <v>26.12</v>
      </c>
      <c r="E21" s="15">
        <v>25.73</v>
      </c>
      <c r="F21" s="15">
        <v>26.03</v>
      </c>
      <c r="G21" s="15">
        <v>9019607</v>
      </c>
      <c r="H21" s="15">
        <v>234191680</v>
      </c>
    </row>
    <row r="22" spans="1:8" x14ac:dyDescent="0.2">
      <c r="A22" s="14">
        <v>42790</v>
      </c>
      <c r="B22" s="15"/>
      <c r="C22" s="15">
        <v>26.25</v>
      </c>
      <c r="D22" s="15">
        <v>26.71</v>
      </c>
      <c r="E22" s="15">
        <v>26.1</v>
      </c>
      <c r="F22" s="15">
        <v>26.15</v>
      </c>
      <c r="G22" s="15">
        <v>19734676</v>
      </c>
      <c r="H22" s="15">
        <v>521109728</v>
      </c>
    </row>
    <row r="23" spans="1:8" x14ac:dyDescent="0.2">
      <c r="A23" s="14">
        <v>42793</v>
      </c>
      <c r="B23" s="15"/>
      <c r="C23" s="15">
        <v>26.21</v>
      </c>
      <c r="D23" s="15">
        <v>26.31</v>
      </c>
      <c r="E23" s="15">
        <v>25.71</v>
      </c>
      <c r="F23" s="15">
        <v>25.83</v>
      </c>
      <c r="G23" s="15">
        <v>7307665</v>
      </c>
      <c r="H23" s="15">
        <v>189352688</v>
      </c>
    </row>
    <row r="24" spans="1:8" x14ac:dyDescent="0.2">
      <c r="A24" s="14">
        <v>42794</v>
      </c>
      <c r="B24" s="15"/>
      <c r="C24" s="15">
        <v>25.82</v>
      </c>
      <c r="D24" s="15">
        <v>25.9</v>
      </c>
      <c r="E24" s="15">
        <v>25.63</v>
      </c>
      <c r="F24" s="15">
        <v>25.77</v>
      </c>
      <c r="G24" s="15">
        <v>6803939</v>
      </c>
      <c r="H24" s="15">
        <v>175200688</v>
      </c>
    </row>
    <row r="25" spans="1:8" x14ac:dyDescent="0.2">
      <c r="A25" s="14">
        <v>42795</v>
      </c>
      <c r="B25" s="15"/>
      <c r="C25" s="15">
        <v>26</v>
      </c>
      <c r="D25" s="15">
        <v>26.65</v>
      </c>
      <c r="E25" s="15">
        <v>25.93</v>
      </c>
      <c r="F25" s="15">
        <v>25.98</v>
      </c>
      <c r="G25" s="15">
        <v>17250970</v>
      </c>
      <c r="H25" s="15">
        <v>453285088</v>
      </c>
    </row>
    <row r="26" spans="1:8" x14ac:dyDescent="0.2">
      <c r="A26" s="14">
        <v>42796</v>
      </c>
      <c r="B26" s="15"/>
      <c r="C26" s="15">
        <v>26.02</v>
      </c>
      <c r="D26" s="15">
        <v>26.08</v>
      </c>
      <c r="E26" s="15">
        <v>25.73</v>
      </c>
      <c r="F26" s="15">
        <v>25.84</v>
      </c>
      <c r="G26" s="15">
        <v>4763470</v>
      </c>
      <c r="H26" s="15">
        <v>123082832</v>
      </c>
    </row>
    <row r="27" spans="1:8" x14ac:dyDescent="0.2">
      <c r="A27" s="14">
        <v>42797</v>
      </c>
      <c r="B27" s="15"/>
      <c r="C27" s="15">
        <v>25.73</v>
      </c>
      <c r="D27" s="15">
        <v>25.73</v>
      </c>
      <c r="E27" s="15">
        <v>25.43</v>
      </c>
      <c r="F27" s="15">
        <v>25.68</v>
      </c>
      <c r="G27" s="15">
        <v>8226736</v>
      </c>
      <c r="H27" s="15">
        <v>210118416</v>
      </c>
    </row>
    <row r="28" spans="1:8" x14ac:dyDescent="0.2">
      <c r="A28" s="14">
        <v>42800</v>
      </c>
      <c r="B28" s="15"/>
      <c r="C28" s="15">
        <v>25.53</v>
      </c>
      <c r="D28" s="15">
        <v>26.01</v>
      </c>
      <c r="E28" s="15">
        <v>25.52</v>
      </c>
      <c r="F28" s="15">
        <v>25.77</v>
      </c>
      <c r="G28" s="15">
        <v>7727749</v>
      </c>
      <c r="H28" s="15">
        <v>199271568</v>
      </c>
    </row>
    <row r="29" spans="1:8" x14ac:dyDescent="0.2">
      <c r="A29" s="14">
        <v>42801</v>
      </c>
      <c r="B29" s="15"/>
      <c r="C29" s="15">
        <v>25.78</v>
      </c>
      <c r="D29" s="15">
        <v>26.23</v>
      </c>
      <c r="E29" s="15">
        <v>25.68</v>
      </c>
      <c r="F29" s="15">
        <v>26.14</v>
      </c>
      <c r="G29" s="15">
        <v>9844048</v>
      </c>
      <c r="H29" s="15">
        <v>256358512</v>
      </c>
    </row>
    <row r="30" spans="1:8" x14ac:dyDescent="0.2">
      <c r="A30" s="14">
        <v>42802</v>
      </c>
      <c r="B30" s="15"/>
      <c r="C30" s="15">
        <v>25.99</v>
      </c>
      <c r="D30" s="15">
        <v>26.14</v>
      </c>
      <c r="E30" s="15">
        <v>25.83</v>
      </c>
      <c r="F30" s="15">
        <v>25.92</v>
      </c>
      <c r="G30" s="15">
        <v>4276358</v>
      </c>
      <c r="H30" s="15">
        <v>111057520</v>
      </c>
    </row>
    <row r="31" spans="1:8" x14ac:dyDescent="0.2">
      <c r="A31" s="14">
        <v>42803</v>
      </c>
      <c r="B31" s="15"/>
      <c r="C31" s="15">
        <v>25.86</v>
      </c>
      <c r="D31" s="15">
        <v>26.06</v>
      </c>
      <c r="E31" s="15">
        <v>25.49</v>
      </c>
      <c r="F31" s="15">
        <v>25.5</v>
      </c>
      <c r="G31" s="15">
        <v>6175011</v>
      </c>
      <c r="H31" s="15">
        <v>158779808</v>
      </c>
    </row>
    <row r="32" spans="1:8" x14ac:dyDescent="0.2">
      <c r="A32" s="14">
        <v>42804</v>
      </c>
      <c r="B32" s="15"/>
      <c r="C32" s="15">
        <v>25.47</v>
      </c>
      <c r="D32" s="15">
        <v>25.92</v>
      </c>
      <c r="E32" s="15">
        <v>25.47</v>
      </c>
      <c r="F32" s="15">
        <v>25.8</v>
      </c>
      <c r="G32" s="15">
        <v>7385136</v>
      </c>
      <c r="H32" s="15">
        <v>190265760</v>
      </c>
    </row>
    <row r="33" spans="1:8" x14ac:dyDescent="0.2">
      <c r="A33" s="14">
        <v>42807</v>
      </c>
      <c r="B33" s="15"/>
      <c r="C33" s="15">
        <v>25.72</v>
      </c>
      <c r="D33" s="15">
        <v>26.27</v>
      </c>
      <c r="E33" s="15">
        <v>25.68</v>
      </c>
      <c r="F33" s="15">
        <v>25.99</v>
      </c>
      <c r="G33" s="15">
        <v>11778267</v>
      </c>
      <c r="H33" s="15">
        <v>306655264</v>
      </c>
    </row>
    <row r="34" spans="1:8" x14ac:dyDescent="0.2">
      <c r="A34" s="14">
        <v>42808</v>
      </c>
      <c r="B34" s="15"/>
      <c r="C34" s="15">
        <v>26.01</v>
      </c>
      <c r="D34" s="15">
        <v>26.54</v>
      </c>
      <c r="E34" s="15">
        <v>26.01</v>
      </c>
      <c r="F34" s="15">
        <v>26.49</v>
      </c>
      <c r="G34" s="15">
        <v>12483355</v>
      </c>
      <c r="H34" s="15">
        <v>329352608</v>
      </c>
    </row>
    <row r="35" spans="1:8" x14ac:dyDescent="0.2">
      <c r="A35" s="14">
        <v>42809</v>
      </c>
      <c r="B35" s="15"/>
      <c r="C35" s="15">
        <v>26.51</v>
      </c>
      <c r="D35" s="15">
        <v>26.69</v>
      </c>
      <c r="E35" s="15">
        <v>26.26</v>
      </c>
      <c r="F35" s="15">
        <v>26.59</v>
      </c>
      <c r="G35" s="15">
        <v>9334639</v>
      </c>
      <c r="H35" s="15">
        <v>247841296</v>
      </c>
    </row>
    <row r="36" spans="1:8" x14ac:dyDescent="0.2">
      <c r="A36" s="14">
        <v>42810</v>
      </c>
      <c r="B36" s="15"/>
      <c r="C36" s="15">
        <v>26.58</v>
      </c>
      <c r="D36" s="15">
        <v>26.74</v>
      </c>
      <c r="E36" s="15">
        <v>26.43</v>
      </c>
      <c r="F36" s="15">
        <v>26.6</v>
      </c>
      <c r="G36" s="15">
        <v>9693783</v>
      </c>
      <c r="H36" s="15">
        <v>257492384</v>
      </c>
    </row>
    <row r="37" spans="1:8" x14ac:dyDescent="0.2">
      <c r="A37" s="14">
        <v>42811</v>
      </c>
      <c r="B37" s="15"/>
      <c r="C37" s="15">
        <v>26.63</v>
      </c>
      <c r="D37" s="15">
        <v>27.07</v>
      </c>
      <c r="E37" s="15">
        <v>26.62</v>
      </c>
      <c r="F37" s="15">
        <v>26.97</v>
      </c>
      <c r="G37" s="15">
        <v>14469181</v>
      </c>
      <c r="H37" s="15">
        <v>389854592</v>
      </c>
    </row>
    <row r="38" spans="1:8" x14ac:dyDescent="0.2">
      <c r="A38" s="14">
        <v>42814</v>
      </c>
      <c r="B38" s="15"/>
      <c r="C38" s="15">
        <v>26.9</v>
      </c>
      <c r="D38" s="15">
        <v>27.75</v>
      </c>
      <c r="E38" s="15">
        <v>26.9</v>
      </c>
      <c r="F38" s="15">
        <v>27.61</v>
      </c>
      <c r="G38" s="15">
        <v>16928338</v>
      </c>
      <c r="H38" s="15">
        <v>465309696</v>
      </c>
    </row>
    <row r="39" spans="1:8" x14ac:dyDescent="0.2">
      <c r="A39" s="14">
        <v>42815</v>
      </c>
      <c r="B39" s="15"/>
      <c r="C39" s="15">
        <v>27.8</v>
      </c>
      <c r="D39" s="15">
        <v>28.03</v>
      </c>
      <c r="E39" s="15">
        <v>27.43</v>
      </c>
      <c r="F39" s="15">
        <v>27.69</v>
      </c>
      <c r="G39" s="15">
        <v>12992005</v>
      </c>
      <c r="H39" s="15">
        <v>361458752</v>
      </c>
    </row>
    <row r="40" spans="1:8" x14ac:dyDescent="0.2">
      <c r="A40" s="14">
        <v>42816</v>
      </c>
      <c r="B40" s="15"/>
      <c r="C40" s="15">
        <v>27.58</v>
      </c>
      <c r="D40" s="15">
        <v>28.65</v>
      </c>
      <c r="E40" s="15">
        <v>27.42</v>
      </c>
      <c r="F40" s="15">
        <v>28.54</v>
      </c>
      <c r="G40" s="15">
        <v>18641908</v>
      </c>
      <c r="H40" s="15">
        <v>524460064</v>
      </c>
    </row>
    <row r="41" spans="1:8" x14ac:dyDescent="0.2">
      <c r="A41" s="14">
        <v>42817</v>
      </c>
      <c r="B41" s="15"/>
      <c r="C41" s="15">
        <v>28.54</v>
      </c>
      <c r="D41" s="15">
        <v>28.9</v>
      </c>
      <c r="E41" s="15">
        <v>28.1</v>
      </c>
      <c r="F41" s="15">
        <v>28.4</v>
      </c>
      <c r="G41" s="15">
        <v>13803087</v>
      </c>
      <c r="H41" s="15">
        <v>394179200</v>
      </c>
    </row>
    <row r="42" spans="1:8" x14ac:dyDescent="0.2">
      <c r="A42" s="14">
        <v>42818</v>
      </c>
      <c r="B42" s="15"/>
      <c r="C42" s="15">
        <v>28.2</v>
      </c>
      <c r="D42" s="15">
        <v>28.7</v>
      </c>
      <c r="E42" s="15">
        <v>28.05</v>
      </c>
      <c r="F42" s="15">
        <v>28.13</v>
      </c>
      <c r="G42" s="15">
        <v>11554014</v>
      </c>
      <c r="H42" s="15">
        <v>327530016</v>
      </c>
    </row>
    <row r="43" spans="1:8" x14ac:dyDescent="0.2">
      <c r="A43" s="14">
        <v>42821</v>
      </c>
      <c r="B43" s="15"/>
      <c r="C43" s="15">
        <v>28.15</v>
      </c>
      <c r="D43" s="15">
        <v>28.63</v>
      </c>
      <c r="E43" s="15">
        <v>27.59</v>
      </c>
      <c r="F43" s="15">
        <v>27.9</v>
      </c>
      <c r="G43" s="15">
        <v>12440464</v>
      </c>
      <c r="H43" s="15">
        <v>349858880</v>
      </c>
    </row>
    <row r="44" spans="1:8" x14ac:dyDescent="0.2">
      <c r="A44" s="14">
        <v>42822</v>
      </c>
      <c r="B44" s="15"/>
      <c r="C44" s="15">
        <v>28.05</v>
      </c>
      <c r="D44" s="15">
        <v>28.28</v>
      </c>
      <c r="E44" s="15">
        <v>27.83</v>
      </c>
      <c r="F44" s="15">
        <v>28.14</v>
      </c>
      <c r="G44" s="15">
        <v>11145775</v>
      </c>
      <c r="H44" s="15">
        <v>313062080</v>
      </c>
    </row>
    <row r="45" spans="1:8" x14ac:dyDescent="0.2">
      <c r="A45" s="14">
        <v>42823</v>
      </c>
      <c r="B45" s="15"/>
      <c r="C45" s="15">
        <v>27.92</v>
      </c>
      <c r="D45" s="15">
        <v>27.92</v>
      </c>
      <c r="E45" s="15">
        <v>26.94</v>
      </c>
      <c r="F45" s="15">
        <v>27.48</v>
      </c>
      <c r="G45" s="15">
        <v>34461430</v>
      </c>
      <c r="H45" s="15">
        <v>943487360</v>
      </c>
    </row>
    <row r="46" spans="1:8" x14ac:dyDescent="0.2">
      <c r="A46" s="14">
        <v>42824</v>
      </c>
      <c r="B46" s="15"/>
      <c r="C46" s="15">
        <v>27.52</v>
      </c>
      <c r="D46" s="15">
        <v>27.8</v>
      </c>
      <c r="E46" s="15">
        <v>27.04</v>
      </c>
      <c r="F46" s="15">
        <v>27.69</v>
      </c>
      <c r="G46" s="15">
        <v>10517837</v>
      </c>
      <c r="H46" s="15">
        <v>289166688</v>
      </c>
    </row>
    <row r="47" spans="1:8" x14ac:dyDescent="0.2">
      <c r="A47" s="14">
        <v>42825</v>
      </c>
      <c r="B47" s="15"/>
      <c r="C47" s="15">
        <v>27.6</v>
      </c>
      <c r="D47" s="15">
        <v>28.47</v>
      </c>
      <c r="E47" s="15">
        <v>27.58</v>
      </c>
      <c r="F47" s="15">
        <v>28.22</v>
      </c>
      <c r="G47" s="15">
        <v>13686610</v>
      </c>
      <c r="H47" s="15">
        <v>385511264</v>
      </c>
    </row>
    <row r="48" spans="1:8" x14ac:dyDescent="0.2">
      <c r="A48" s="14">
        <v>42830</v>
      </c>
      <c r="B48" s="15"/>
      <c r="C48" s="15">
        <v>27.94</v>
      </c>
      <c r="D48" s="15">
        <v>28.95</v>
      </c>
      <c r="E48" s="15">
        <v>27.8</v>
      </c>
      <c r="F48" s="15">
        <v>27.99</v>
      </c>
      <c r="G48" s="15">
        <v>20369722</v>
      </c>
      <c r="H48" s="15">
        <v>575938688</v>
      </c>
    </row>
    <row r="49" spans="1:8" x14ac:dyDescent="0.2">
      <c r="A49" s="14">
        <v>42831</v>
      </c>
      <c r="B49" s="15"/>
      <c r="C49" s="15">
        <v>27.99</v>
      </c>
      <c r="D49" s="15">
        <v>28.88</v>
      </c>
      <c r="E49" s="15">
        <v>27.89</v>
      </c>
      <c r="F49" s="15">
        <v>28.77</v>
      </c>
      <c r="G49" s="15">
        <v>11435265</v>
      </c>
      <c r="H49" s="15">
        <v>326153408</v>
      </c>
    </row>
    <row r="50" spans="1:8" x14ac:dyDescent="0.2">
      <c r="A50" s="14">
        <v>42832</v>
      </c>
      <c r="B50" s="15"/>
      <c r="C50" s="15">
        <v>28.65</v>
      </c>
      <c r="D50" s="15">
        <v>28.9</v>
      </c>
      <c r="E50" s="15">
        <v>28.46</v>
      </c>
      <c r="F50" s="15">
        <v>28.66</v>
      </c>
      <c r="G50" s="15">
        <v>7011654</v>
      </c>
      <c r="H50" s="15">
        <v>201132464</v>
      </c>
    </row>
    <row r="51" spans="1:8" x14ac:dyDescent="0.2">
      <c r="A51" s="14">
        <v>42835</v>
      </c>
      <c r="B51" s="15"/>
      <c r="C51" s="15">
        <v>28.68</v>
      </c>
      <c r="D51" s="15">
        <v>28.76</v>
      </c>
      <c r="E51" s="15">
        <v>28.14</v>
      </c>
      <c r="F51" s="15">
        <v>28.25</v>
      </c>
      <c r="G51" s="15">
        <v>5823077</v>
      </c>
      <c r="H51" s="15">
        <v>165194640</v>
      </c>
    </row>
    <row r="52" spans="1:8" x14ac:dyDescent="0.2">
      <c r="A52" s="14">
        <v>42836</v>
      </c>
      <c r="B52" s="15"/>
      <c r="C52" s="15">
        <v>28.18</v>
      </c>
      <c r="D52" s="15">
        <v>28.59</v>
      </c>
      <c r="E52" s="15">
        <v>27.68</v>
      </c>
      <c r="F52" s="15">
        <v>28.13</v>
      </c>
      <c r="G52" s="15">
        <v>9447949</v>
      </c>
      <c r="H52" s="15">
        <v>264768704</v>
      </c>
    </row>
    <row r="53" spans="1:8" x14ac:dyDescent="0.2">
      <c r="A53" s="14">
        <v>42837</v>
      </c>
      <c r="B53" s="15"/>
      <c r="C53" s="15">
        <v>28.08</v>
      </c>
      <c r="D53" s="15">
        <v>28.35</v>
      </c>
      <c r="E53" s="15">
        <v>27.79</v>
      </c>
      <c r="F53" s="15">
        <v>28.17</v>
      </c>
      <c r="G53" s="15">
        <v>7407992</v>
      </c>
      <c r="H53" s="15">
        <v>208480992</v>
      </c>
    </row>
    <row r="54" spans="1:8" x14ac:dyDescent="0.2">
      <c r="A54" s="14">
        <v>42838</v>
      </c>
      <c r="B54" s="15"/>
      <c r="C54" s="15">
        <v>28.17</v>
      </c>
      <c r="D54" s="15">
        <v>29.3</v>
      </c>
      <c r="E54" s="15">
        <v>27.93</v>
      </c>
      <c r="F54" s="15">
        <v>29.19</v>
      </c>
      <c r="G54" s="15">
        <v>14517975</v>
      </c>
      <c r="H54" s="15">
        <v>419253504</v>
      </c>
    </row>
    <row r="55" spans="1:8" x14ac:dyDescent="0.2">
      <c r="A55" s="14">
        <v>42839</v>
      </c>
      <c r="B55" s="15"/>
      <c r="C55" s="15">
        <v>29.19</v>
      </c>
      <c r="D55" s="15">
        <v>29.28</v>
      </c>
      <c r="E55" s="15">
        <v>28.71</v>
      </c>
      <c r="F55" s="15">
        <v>29.19</v>
      </c>
      <c r="G55" s="15">
        <v>7310858</v>
      </c>
      <c r="H55" s="15">
        <v>212355680</v>
      </c>
    </row>
    <row r="56" spans="1:8" x14ac:dyDescent="0.2">
      <c r="A56" s="14">
        <v>42842</v>
      </c>
      <c r="B56" s="15"/>
      <c r="C56" s="15">
        <v>29.04</v>
      </c>
      <c r="D56" s="15">
        <v>29.67</v>
      </c>
      <c r="E56" s="15">
        <v>28.82</v>
      </c>
      <c r="F56" s="15">
        <v>29.26</v>
      </c>
      <c r="G56" s="15">
        <v>11250227</v>
      </c>
      <c r="H56" s="15">
        <v>329177792</v>
      </c>
    </row>
    <row r="57" spans="1:8" x14ac:dyDescent="0.2">
      <c r="A57" s="14">
        <v>42843</v>
      </c>
      <c r="B57" s="15"/>
      <c r="C57" s="15">
        <v>29.11</v>
      </c>
      <c r="D57" s="15">
        <v>30.31</v>
      </c>
      <c r="E57" s="15">
        <v>29.1</v>
      </c>
      <c r="F57" s="15">
        <v>30.13</v>
      </c>
      <c r="G57" s="15">
        <v>17268243</v>
      </c>
      <c r="H57" s="15">
        <v>517583232</v>
      </c>
    </row>
    <row r="58" spans="1:8" x14ac:dyDescent="0.2">
      <c r="A58" s="14">
        <v>42844</v>
      </c>
      <c r="B58" s="15"/>
      <c r="C58" s="15">
        <v>30</v>
      </c>
      <c r="D58" s="15">
        <v>30.59</v>
      </c>
      <c r="E58" s="15">
        <v>29.84</v>
      </c>
      <c r="F58" s="15">
        <v>30.34</v>
      </c>
      <c r="G58" s="15">
        <v>12948038</v>
      </c>
      <c r="H58" s="15">
        <v>391292608</v>
      </c>
    </row>
    <row r="59" spans="1:8" x14ac:dyDescent="0.2">
      <c r="A59" s="14">
        <v>42845</v>
      </c>
      <c r="B59" s="15"/>
      <c r="C59" s="15">
        <v>30.35</v>
      </c>
      <c r="D59" s="15">
        <v>31.5</v>
      </c>
      <c r="E59" s="15">
        <v>30.04</v>
      </c>
      <c r="F59" s="15">
        <v>31</v>
      </c>
      <c r="G59" s="15">
        <v>13826247</v>
      </c>
      <c r="H59" s="15">
        <v>428008672</v>
      </c>
    </row>
    <row r="60" spans="1:8" x14ac:dyDescent="0.2">
      <c r="A60" s="14">
        <v>42846</v>
      </c>
      <c r="B60" s="15"/>
      <c r="C60" s="15">
        <v>31.01</v>
      </c>
      <c r="D60" s="15">
        <v>31.35</v>
      </c>
      <c r="E60" s="15">
        <v>29.99</v>
      </c>
      <c r="F60" s="15">
        <v>30.74</v>
      </c>
      <c r="G60" s="15">
        <v>13723755</v>
      </c>
      <c r="H60" s="15">
        <v>418885792</v>
      </c>
    </row>
    <row r="61" spans="1:8" x14ac:dyDescent="0.2">
      <c r="A61" s="14">
        <v>42849</v>
      </c>
      <c r="B61" s="15"/>
      <c r="C61" s="15">
        <v>30.01</v>
      </c>
      <c r="D61" s="15">
        <v>30.77</v>
      </c>
      <c r="E61" s="15">
        <v>29.27</v>
      </c>
      <c r="F61" s="15">
        <v>30.74</v>
      </c>
      <c r="G61" s="15">
        <v>13357862</v>
      </c>
      <c r="H61" s="15">
        <v>402048704</v>
      </c>
    </row>
    <row r="62" spans="1:8" x14ac:dyDescent="0.2">
      <c r="A62" s="14">
        <v>42850</v>
      </c>
      <c r="B62" s="15"/>
      <c r="C62" s="15">
        <v>30.55</v>
      </c>
      <c r="D62" s="15">
        <v>30.6</v>
      </c>
      <c r="E62" s="15">
        <v>29.88</v>
      </c>
      <c r="F62" s="15">
        <v>30.27</v>
      </c>
      <c r="G62" s="15">
        <v>11756364</v>
      </c>
      <c r="H62" s="15">
        <v>354277632</v>
      </c>
    </row>
    <row r="63" spans="1:8" x14ac:dyDescent="0.2">
      <c r="A63" s="14">
        <v>42851</v>
      </c>
      <c r="B63" s="15"/>
      <c r="C63" s="15">
        <v>30.09</v>
      </c>
      <c r="D63" s="15">
        <v>30.78</v>
      </c>
      <c r="E63" s="15">
        <v>29.4</v>
      </c>
      <c r="F63" s="15">
        <v>29.89</v>
      </c>
      <c r="G63" s="15">
        <v>15389180</v>
      </c>
      <c r="H63" s="15">
        <v>460906784</v>
      </c>
    </row>
    <row r="64" spans="1:8" x14ac:dyDescent="0.2">
      <c r="A64" s="14">
        <v>42852</v>
      </c>
      <c r="B64" s="15"/>
      <c r="C64" s="15">
        <v>29.71</v>
      </c>
      <c r="D64" s="15">
        <v>30.33</v>
      </c>
      <c r="E64" s="15">
        <v>29.61</v>
      </c>
      <c r="F64" s="15">
        <v>30.2</v>
      </c>
      <c r="G64" s="15">
        <v>8270418</v>
      </c>
      <c r="H64" s="15">
        <v>248170448</v>
      </c>
    </row>
    <row r="65" spans="1:13" x14ac:dyDescent="0.2">
      <c r="A65" s="14">
        <v>42853</v>
      </c>
      <c r="B65" s="15"/>
      <c r="C65" s="15">
        <v>30.12</v>
      </c>
      <c r="D65" s="15">
        <v>30.5</v>
      </c>
      <c r="E65" s="15">
        <v>28.92</v>
      </c>
      <c r="F65" s="15">
        <v>29.54</v>
      </c>
      <c r="G65" s="15">
        <v>17680332</v>
      </c>
      <c r="H65" s="15">
        <v>521105664</v>
      </c>
    </row>
    <row r="66" spans="1:13" x14ac:dyDescent="0.2">
      <c r="A66" s="16">
        <v>42857</v>
      </c>
      <c r="B66" s="17"/>
      <c r="C66" s="17">
        <v>29.35</v>
      </c>
      <c r="D66" s="17">
        <v>29.58</v>
      </c>
      <c r="E66" s="17">
        <v>28.6</v>
      </c>
      <c r="F66" s="17">
        <v>29.42</v>
      </c>
      <c r="G66" s="17">
        <v>15429155</v>
      </c>
      <c r="H66" s="17">
        <v>448247712</v>
      </c>
      <c r="I66" s="18">
        <f>SUM(F61:F65)/5</f>
        <v>30.128000000000004</v>
      </c>
      <c r="J66" s="18">
        <f>SUM(F56:F65)/10</f>
        <v>30.211000000000002</v>
      </c>
      <c r="K66" s="18">
        <f>SUM(F46:F65)/20</f>
        <v>29.3185</v>
      </c>
      <c r="L66" s="18">
        <f>SUM(F6:F65)/60</f>
        <v>27.208333333333339</v>
      </c>
      <c r="M66" s="22" t="s">
        <v>113</v>
      </c>
    </row>
    <row r="67" spans="1:13" x14ac:dyDescent="0.2">
      <c r="A67" s="16">
        <v>42858</v>
      </c>
      <c r="B67" s="17"/>
      <c r="C67" s="17">
        <v>29.33</v>
      </c>
      <c r="D67" s="17">
        <v>29.93</v>
      </c>
      <c r="E67" s="17">
        <v>29.07</v>
      </c>
      <c r="F67" s="17">
        <v>29.69</v>
      </c>
      <c r="G67" s="17">
        <v>10750110</v>
      </c>
      <c r="H67" s="17">
        <v>318760064</v>
      </c>
      <c r="I67" s="18">
        <f t="shared" ref="I67:I76" si="0">SUM(F62:F66)/5</f>
        <v>29.863999999999997</v>
      </c>
      <c r="J67" s="18">
        <f t="shared" ref="J67:J76" si="1">SUM(F57:F66)/10</f>
        <v>30.227000000000004</v>
      </c>
      <c r="K67" s="18">
        <f t="shared" ref="K67:K76" si="2">SUM(F47:F66)/20</f>
        <v>29.404999999999994</v>
      </c>
      <c r="L67" s="18">
        <f t="shared" ref="L67:L76" si="3">SUM(F7:F66)/60</f>
        <v>27.283333333333342</v>
      </c>
      <c r="M67" s="22"/>
    </row>
    <row r="68" spans="1:13" x14ac:dyDescent="0.2">
      <c r="A68" s="16">
        <v>42859</v>
      </c>
      <c r="B68" s="17"/>
      <c r="C68" s="17">
        <v>29.53</v>
      </c>
      <c r="D68" s="17">
        <v>29.63</v>
      </c>
      <c r="E68" s="17">
        <v>29.2</v>
      </c>
      <c r="F68" s="17">
        <v>29.33</v>
      </c>
      <c r="G68" s="17">
        <v>8330175</v>
      </c>
      <c r="H68" s="17">
        <v>244435856</v>
      </c>
      <c r="I68" s="18">
        <f t="shared" si="0"/>
        <v>29.748000000000001</v>
      </c>
      <c r="J68" s="18">
        <f t="shared" si="1"/>
        <v>30.183</v>
      </c>
      <c r="K68" s="18">
        <f t="shared" si="2"/>
        <v>29.478499999999997</v>
      </c>
      <c r="L68" s="18">
        <f t="shared" si="3"/>
        <v>27.359000000000012</v>
      </c>
      <c r="M68" s="22"/>
    </row>
    <row r="69" spans="1:13" x14ac:dyDescent="0.2">
      <c r="A69" s="16">
        <v>42860</v>
      </c>
      <c r="B69" s="17"/>
      <c r="C69" s="17">
        <v>29.44</v>
      </c>
      <c r="D69" s="17">
        <v>30.26</v>
      </c>
      <c r="E69" s="17">
        <v>29.37</v>
      </c>
      <c r="F69" s="17">
        <v>29.92</v>
      </c>
      <c r="G69" s="17">
        <v>13389727</v>
      </c>
      <c r="H69" s="17">
        <v>401315744</v>
      </c>
      <c r="I69" s="18">
        <f t="shared" si="0"/>
        <v>29.636000000000003</v>
      </c>
      <c r="J69" s="18">
        <f t="shared" si="1"/>
        <v>30.081999999999994</v>
      </c>
      <c r="K69" s="18">
        <f t="shared" si="2"/>
        <v>29.545500000000004</v>
      </c>
      <c r="L69" s="18">
        <f t="shared" si="3"/>
        <v>27.426000000000005</v>
      </c>
      <c r="M69" s="22"/>
    </row>
    <row r="70" spans="1:13" x14ac:dyDescent="0.2">
      <c r="A70" s="16">
        <v>42863</v>
      </c>
      <c r="B70" s="17"/>
      <c r="C70" s="17">
        <v>29.9</v>
      </c>
      <c r="D70" s="17">
        <v>30.16</v>
      </c>
      <c r="E70" s="17">
        <v>29.68</v>
      </c>
      <c r="F70" s="17">
        <v>30.02</v>
      </c>
      <c r="G70" s="17">
        <v>7845788</v>
      </c>
      <c r="H70" s="17">
        <v>235025680</v>
      </c>
      <c r="I70" s="18">
        <f t="shared" si="0"/>
        <v>29.580000000000002</v>
      </c>
      <c r="J70" s="18">
        <f t="shared" si="1"/>
        <v>29.974</v>
      </c>
      <c r="K70" s="18">
        <f t="shared" si="2"/>
        <v>29.603000000000002</v>
      </c>
      <c r="L70" s="18">
        <f t="shared" si="3"/>
        <v>27.496833333333345</v>
      </c>
      <c r="M70" s="22"/>
    </row>
    <row r="71" spans="1:13" x14ac:dyDescent="0.2">
      <c r="A71" s="16">
        <v>42864</v>
      </c>
      <c r="B71" s="17"/>
      <c r="C71" s="17">
        <v>29.9</v>
      </c>
      <c r="D71" s="17">
        <v>29.9</v>
      </c>
      <c r="E71" s="17">
        <v>28.61</v>
      </c>
      <c r="F71" s="17">
        <v>29.31</v>
      </c>
      <c r="G71" s="17">
        <v>13418215</v>
      </c>
      <c r="H71" s="17">
        <v>391108640</v>
      </c>
      <c r="I71" s="18">
        <f t="shared" si="0"/>
        <v>29.675999999999998</v>
      </c>
      <c r="J71" s="18">
        <f t="shared" si="1"/>
        <v>29.901999999999997</v>
      </c>
      <c r="K71" s="18">
        <f t="shared" si="2"/>
        <v>29.670999999999999</v>
      </c>
      <c r="L71" s="18">
        <f t="shared" si="3"/>
        <v>27.57200000000001</v>
      </c>
      <c r="M71" s="22"/>
    </row>
    <row r="72" spans="1:13" x14ac:dyDescent="0.2">
      <c r="A72" s="16">
        <v>42865</v>
      </c>
      <c r="B72" s="17"/>
      <c r="C72" s="17">
        <v>29.62</v>
      </c>
      <c r="D72" s="17">
        <v>30.58</v>
      </c>
      <c r="E72" s="17">
        <v>29.62</v>
      </c>
      <c r="F72" s="17">
        <v>29.98</v>
      </c>
      <c r="G72" s="17">
        <v>16386576</v>
      </c>
      <c r="H72" s="17">
        <v>494746880</v>
      </c>
      <c r="I72" s="18">
        <f t="shared" si="0"/>
        <v>29.653999999999996</v>
      </c>
      <c r="J72" s="18">
        <f t="shared" si="1"/>
        <v>29.758999999999997</v>
      </c>
      <c r="K72" s="18">
        <f t="shared" si="2"/>
        <v>29.723999999999997</v>
      </c>
      <c r="L72" s="18">
        <f t="shared" si="3"/>
        <v>27.644000000000009</v>
      </c>
      <c r="M72" s="22"/>
    </row>
    <row r="73" spans="1:13" x14ac:dyDescent="0.2">
      <c r="A73" s="16">
        <v>42866</v>
      </c>
      <c r="B73" s="17"/>
      <c r="C73" s="17">
        <v>30.2</v>
      </c>
      <c r="D73" s="17">
        <v>30.46</v>
      </c>
      <c r="E73" s="17">
        <v>29.81</v>
      </c>
      <c r="F73" s="17">
        <v>30.16</v>
      </c>
      <c r="G73" s="17">
        <v>11557523</v>
      </c>
      <c r="H73" s="17">
        <v>348283424</v>
      </c>
      <c r="I73" s="18">
        <f t="shared" si="0"/>
        <v>29.712</v>
      </c>
      <c r="J73" s="18">
        <f t="shared" si="1"/>
        <v>29.73</v>
      </c>
      <c r="K73" s="18">
        <f t="shared" si="2"/>
        <v>29.816499999999998</v>
      </c>
      <c r="L73" s="18">
        <f t="shared" si="3"/>
        <v>27.72300000000001</v>
      </c>
      <c r="M73" s="22"/>
    </row>
    <row r="74" spans="1:13" x14ac:dyDescent="0.2">
      <c r="A74" s="16">
        <v>42867</v>
      </c>
      <c r="B74" s="17"/>
      <c r="C74" s="17">
        <v>30.16</v>
      </c>
      <c r="D74" s="17">
        <v>31.2</v>
      </c>
      <c r="E74" s="17">
        <v>30.07</v>
      </c>
      <c r="F74" s="17">
        <v>31.18</v>
      </c>
      <c r="G74" s="17">
        <v>12823108</v>
      </c>
      <c r="H74" s="17">
        <v>394502272</v>
      </c>
      <c r="I74" s="18">
        <f t="shared" si="0"/>
        <v>29.878000000000004</v>
      </c>
      <c r="J74" s="18">
        <f t="shared" si="1"/>
        <v>29.757000000000005</v>
      </c>
      <c r="K74" s="18">
        <f t="shared" si="2"/>
        <v>29.915999999999997</v>
      </c>
      <c r="L74" s="18">
        <f t="shared" si="3"/>
        <v>27.804000000000013</v>
      </c>
      <c r="M74" s="22"/>
    </row>
    <row r="75" spans="1:13" x14ac:dyDescent="0.2">
      <c r="A75" s="16">
        <v>42870</v>
      </c>
      <c r="B75" s="17"/>
      <c r="C75" s="17">
        <v>31.15</v>
      </c>
      <c r="D75" s="17">
        <v>31.65</v>
      </c>
      <c r="E75" s="17">
        <v>30.9</v>
      </c>
      <c r="F75" s="17">
        <v>31.45</v>
      </c>
      <c r="G75" s="17">
        <v>12104936</v>
      </c>
      <c r="H75" s="17">
        <v>378584480</v>
      </c>
      <c r="I75" s="18">
        <f t="shared" si="0"/>
        <v>30.130000000000003</v>
      </c>
      <c r="J75" s="18">
        <f t="shared" si="1"/>
        <v>29.855</v>
      </c>
      <c r="K75" s="18">
        <f t="shared" si="2"/>
        <v>30.015499999999996</v>
      </c>
      <c r="L75" s="18">
        <f t="shared" si="3"/>
        <v>27.903833333333342</v>
      </c>
      <c r="M75" s="22"/>
    </row>
    <row r="76" spans="1:13" x14ac:dyDescent="0.2">
      <c r="A76" s="16">
        <v>42871</v>
      </c>
      <c r="B76" s="17"/>
      <c r="C76" s="17">
        <v>31.36</v>
      </c>
      <c r="D76" s="17">
        <v>31.95</v>
      </c>
      <c r="E76" s="17">
        <v>31.1</v>
      </c>
      <c r="F76" s="17">
        <v>31.86</v>
      </c>
      <c r="G76" s="17">
        <v>11754687</v>
      </c>
      <c r="H76" s="17">
        <v>371675552</v>
      </c>
      <c r="I76" s="18">
        <f t="shared" si="0"/>
        <v>30.415999999999997</v>
      </c>
      <c r="J76" s="18">
        <f t="shared" si="1"/>
        <v>30.045999999999999</v>
      </c>
      <c r="K76" s="18">
        <f t="shared" si="2"/>
        <v>30.128500000000003</v>
      </c>
      <c r="L76" s="18">
        <f t="shared" si="3"/>
        <v>28.013833333333341</v>
      </c>
      <c r="M76" s="22"/>
    </row>
    <row r="77" spans="1:13" x14ac:dyDescent="0.2">
      <c r="A77" s="16">
        <v>42872</v>
      </c>
      <c r="B77" s="17"/>
      <c r="C77" s="17">
        <v>31.54</v>
      </c>
      <c r="D77" s="17">
        <v>31.54</v>
      </c>
      <c r="E77" s="17">
        <v>30.27</v>
      </c>
      <c r="F77" s="17">
        <v>30.33</v>
      </c>
      <c r="G77" s="17">
        <v>26086671</v>
      </c>
      <c r="H77" s="17">
        <v>802078336</v>
      </c>
      <c r="I77" s="18">
        <f t="shared" ref="I77:I89" si="4">SUM(F72:F76)/5</f>
        <v>30.925999999999998</v>
      </c>
      <c r="J77" s="18">
        <f t="shared" ref="J77:J89" si="5">SUM(F67:F76)/10</f>
        <v>30.29</v>
      </c>
      <c r="K77" s="18">
        <f t="shared" ref="K77:K89" si="6">SUM(F57:F76)/20</f>
        <v>30.258500000000005</v>
      </c>
      <c r="L77" s="18">
        <f t="shared" ref="L77:L89" si="7">SUM(F17:F76)/60</f>
        <v>28.128000000000004</v>
      </c>
      <c r="M77" s="22"/>
    </row>
    <row r="78" spans="1:13" x14ac:dyDescent="0.2">
      <c r="A78" s="16">
        <v>42873</v>
      </c>
      <c r="B78" s="17"/>
      <c r="C78" s="17">
        <v>30</v>
      </c>
      <c r="D78" s="17">
        <v>30.67</v>
      </c>
      <c r="E78" s="17">
        <v>29.86</v>
      </c>
      <c r="F78" s="17">
        <v>30.46</v>
      </c>
      <c r="G78" s="17">
        <v>8446655</v>
      </c>
      <c r="H78" s="17">
        <v>256760704</v>
      </c>
      <c r="I78" s="18">
        <f t="shared" si="4"/>
        <v>30.996000000000002</v>
      </c>
      <c r="J78" s="18">
        <f t="shared" si="5"/>
        <v>30.353999999999996</v>
      </c>
      <c r="K78" s="18">
        <f t="shared" si="6"/>
        <v>30.268500000000007</v>
      </c>
      <c r="L78" s="18">
        <f t="shared" si="7"/>
        <v>28.216333333333338</v>
      </c>
      <c r="M78" s="22"/>
    </row>
    <row r="79" spans="1:13" x14ac:dyDescent="0.2">
      <c r="A79" s="16">
        <v>42874</v>
      </c>
      <c r="B79" s="17"/>
      <c r="C79" s="17">
        <v>30.46</v>
      </c>
      <c r="D79" s="17">
        <v>30.73</v>
      </c>
      <c r="E79" s="17">
        <v>30.4</v>
      </c>
      <c r="F79" s="17">
        <v>30.67</v>
      </c>
      <c r="G79" s="17">
        <v>6034200</v>
      </c>
      <c r="H79" s="17">
        <v>184558320</v>
      </c>
      <c r="I79" s="18">
        <f t="shared" si="4"/>
        <v>31.056000000000001</v>
      </c>
      <c r="J79" s="18">
        <f t="shared" si="5"/>
        <v>30.466999999999995</v>
      </c>
      <c r="K79" s="18">
        <f t="shared" si="6"/>
        <v>30.274500000000007</v>
      </c>
      <c r="L79" s="18">
        <f t="shared" si="7"/>
        <v>28.302000000000007</v>
      </c>
      <c r="M79" s="22"/>
    </row>
    <row r="80" spans="1:13" x14ac:dyDescent="0.2">
      <c r="A80" s="16">
        <v>42877</v>
      </c>
      <c r="B80" s="17"/>
      <c r="C80" s="17">
        <v>30.66</v>
      </c>
      <c r="D80" s="17">
        <v>31.09</v>
      </c>
      <c r="E80" s="17">
        <v>30.26</v>
      </c>
      <c r="F80" s="17">
        <v>31.06</v>
      </c>
      <c r="G80" s="17">
        <v>8986217</v>
      </c>
      <c r="H80" s="17">
        <v>277083840</v>
      </c>
      <c r="I80" s="18">
        <f t="shared" si="4"/>
        <v>30.953999999999997</v>
      </c>
      <c r="J80" s="18">
        <f t="shared" si="5"/>
        <v>30.541999999999994</v>
      </c>
      <c r="K80" s="18">
        <f t="shared" si="6"/>
        <v>30.258000000000003</v>
      </c>
      <c r="L80" s="18">
        <f t="shared" si="7"/>
        <v>28.380000000000006</v>
      </c>
      <c r="M80" s="22"/>
    </row>
    <row r="81" spans="1:13" x14ac:dyDescent="0.2">
      <c r="A81" s="16">
        <v>42878</v>
      </c>
      <c r="B81" s="17"/>
      <c r="C81" s="17">
        <v>31.03</v>
      </c>
      <c r="D81" s="17">
        <v>31.98</v>
      </c>
      <c r="E81" s="17">
        <v>30.84</v>
      </c>
      <c r="F81" s="17">
        <v>31.5</v>
      </c>
      <c r="G81" s="17">
        <v>13577689</v>
      </c>
      <c r="H81" s="17">
        <v>429513472</v>
      </c>
      <c r="I81" s="18">
        <f t="shared" si="4"/>
        <v>30.875999999999998</v>
      </c>
      <c r="J81" s="18">
        <f t="shared" si="5"/>
        <v>30.645999999999997</v>
      </c>
      <c r="K81" s="18">
        <f t="shared" si="6"/>
        <v>30.274000000000001</v>
      </c>
      <c r="L81" s="18">
        <f t="shared" si="7"/>
        <v>28.469166666666673</v>
      </c>
      <c r="M81" s="22"/>
    </row>
    <row r="82" spans="1:13" x14ac:dyDescent="0.2">
      <c r="A82" s="16">
        <v>42879</v>
      </c>
      <c r="B82" s="17"/>
      <c r="C82" s="17">
        <v>31.5</v>
      </c>
      <c r="D82" s="17">
        <v>31.69</v>
      </c>
      <c r="E82" s="17">
        <v>30.7</v>
      </c>
      <c r="F82" s="17">
        <v>31.66</v>
      </c>
      <c r="G82" s="17">
        <v>11362046</v>
      </c>
      <c r="H82" s="17">
        <v>354310368</v>
      </c>
      <c r="I82" s="18">
        <f t="shared" si="4"/>
        <v>30.804000000000002</v>
      </c>
      <c r="J82" s="18">
        <f t="shared" si="5"/>
        <v>30.864999999999998</v>
      </c>
      <c r="K82" s="18">
        <f t="shared" si="6"/>
        <v>30.311999999999994</v>
      </c>
      <c r="L82" s="18">
        <f t="shared" si="7"/>
        <v>28.56033333333334</v>
      </c>
      <c r="M82" s="22"/>
    </row>
    <row r="83" spans="1:13" x14ac:dyDescent="0.2">
      <c r="A83" s="16">
        <v>42880</v>
      </c>
      <c r="B83" s="17"/>
      <c r="C83" s="17">
        <v>31.58</v>
      </c>
      <c r="D83" s="17">
        <v>32.24</v>
      </c>
      <c r="E83" s="17">
        <v>31.25</v>
      </c>
      <c r="F83" s="17">
        <v>31.3</v>
      </c>
      <c r="G83" s="17">
        <v>11491266</v>
      </c>
      <c r="H83" s="17">
        <v>364536096</v>
      </c>
      <c r="I83" s="18">
        <f t="shared" si="4"/>
        <v>31.07</v>
      </c>
      <c r="J83" s="18">
        <f t="shared" si="5"/>
        <v>31.033000000000005</v>
      </c>
      <c r="K83" s="18">
        <f t="shared" si="6"/>
        <v>30.381499999999996</v>
      </c>
      <c r="L83" s="18">
        <f t="shared" si="7"/>
        <v>28.652166666666673</v>
      </c>
      <c r="M83" s="22"/>
    </row>
    <row r="84" spans="1:13" x14ac:dyDescent="0.2">
      <c r="A84" s="16">
        <v>42881</v>
      </c>
      <c r="B84" s="17"/>
      <c r="C84" s="17">
        <v>31.23</v>
      </c>
      <c r="D84" s="17">
        <v>31.49</v>
      </c>
      <c r="E84" s="17">
        <v>30.5</v>
      </c>
      <c r="F84" s="17">
        <v>31.03</v>
      </c>
      <c r="G84" s="17">
        <v>6678299</v>
      </c>
      <c r="H84" s="17">
        <v>207164384</v>
      </c>
      <c r="I84" s="18">
        <f t="shared" si="4"/>
        <v>31.238</v>
      </c>
      <c r="J84" s="18">
        <f t="shared" si="5"/>
        <v>31.147000000000002</v>
      </c>
      <c r="K84" s="18">
        <f t="shared" si="6"/>
        <v>30.451999999999998</v>
      </c>
      <c r="L84" s="18">
        <f t="shared" si="7"/>
        <v>28.743333333333339</v>
      </c>
      <c r="M84" s="22"/>
    </row>
    <row r="85" spans="1:13" x14ac:dyDescent="0.2">
      <c r="A85" s="16">
        <v>42886</v>
      </c>
      <c r="B85" s="17"/>
      <c r="C85" s="17">
        <v>31.03</v>
      </c>
      <c r="D85" s="17">
        <v>31.75</v>
      </c>
      <c r="E85" s="17">
        <v>30.6</v>
      </c>
      <c r="F85" s="17">
        <v>31.68</v>
      </c>
      <c r="G85" s="17">
        <v>9540075</v>
      </c>
      <c r="H85" s="17">
        <v>296288096</v>
      </c>
      <c r="I85" s="18">
        <f t="shared" si="4"/>
        <v>31.310000000000002</v>
      </c>
      <c r="J85" s="18">
        <f t="shared" si="5"/>
        <v>31.131999999999994</v>
      </c>
      <c r="K85" s="18">
        <f t="shared" si="6"/>
        <v>30.493499999999994</v>
      </c>
      <c r="L85" s="18">
        <f t="shared" si="7"/>
        <v>28.831000000000007</v>
      </c>
      <c r="M85" s="22"/>
    </row>
    <row r="86" spans="1:13" x14ac:dyDescent="0.2">
      <c r="A86" s="10">
        <v>42887</v>
      </c>
      <c r="C86">
        <v>31.58</v>
      </c>
      <c r="D86">
        <v>32.369999999999997</v>
      </c>
      <c r="E86">
        <v>31.42</v>
      </c>
      <c r="F86">
        <v>32.18</v>
      </c>
      <c r="G86">
        <v>11926980</v>
      </c>
      <c r="H86">
        <v>381962528</v>
      </c>
      <c r="I86" s="13">
        <f t="shared" si="4"/>
        <v>31.433999999999997</v>
      </c>
      <c r="J86" s="13">
        <f t="shared" si="5"/>
        <v>31.155000000000001</v>
      </c>
      <c r="K86" s="13">
        <f t="shared" si="6"/>
        <v>30.600499999999993</v>
      </c>
      <c r="L86" s="13">
        <f t="shared" si="7"/>
        <v>28.926000000000009</v>
      </c>
      <c r="M86" t="s">
        <v>15</v>
      </c>
    </row>
    <row r="87" spans="1:13" x14ac:dyDescent="0.2">
      <c r="A87" s="10">
        <v>42888</v>
      </c>
      <c r="C87">
        <v>32.049999999999997</v>
      </c>
      <c r="D87">
        <v>32.380000000000003</v>
      </c>
      <c r="E87">
        <v>31.68</v>
      </c>
      <c r="F87">
        <v>31.89</v>
      </c>
      <c r="G87">
        <v>8725356</v>
      </c>
      <c r="H87">
        <v>279623552</v>
      </c>
      <c r="I87" s="13">
        <f t="shared" si="4"/>
        <v>31.570000000000004</v>
      </c>
      <c r="J87" s="13">
        <f t="shared" si="5"/>
        <v>31.187000000000001</v>
      </c>
      <c r="K87" s="13">
        <f t="shared" si="6"/>
        <v>30.738499999999995</v>
      </c>
      <c r="L87" s="13">
        <f t="shared" si="7"/>
        <v>29.031666666666677</v>
      </c>
      <c r="M87" t="s">
        <v>12</v>
      </c>
    </row>
    <row r="88" spans="1:13" x14ac:dyDescent="0.2">
      <c r="A88" s="10">
        <v>42891</v>
      </c>
      <c r="C88">
        <v>31.91</v>
      </c>
      <c r="D88">
        <v>31.99</v>
      </c>
      <c r="E88">
        <v>31.1</v>
      </c>
      <c r="F88">
        <v>31.45</v>
      </c>
      <c r="G88">
        <v>9190114</v>
      </c>
      <c r="H88">
        <v>288912096</v>
      </c>
      <c r="I88" s="13">
        <f t="shared" si="4"/>
        <v>31.615999999999996</v>
      </c>
      <c r="J88" s="13">
        <f t="shared" si="5"/>
        <v>31.343</v>
      </c>
      <c r="K88" s="13">
        <f t="shared" si="6"/>
        <v>30.848499999999994</v>
      </c>
      <c r="L88" s="13">
        <f t="shared" si="7"/>
        <v>29.135166666666674</v>
      </c>
      <c r="M88" t="s">
        <v>17</v>
      </c>
    </row>
    <row r="89" spans="1:13" x14ac:dyDescent="0.2">
      <c r="A89" s="10">
        <v>42892</v>
      </c>
      <c r="C89">
        <v>31.46</v>
      </c>
      <c r="D89">
        <v>32.14</v>
      </c>
      <c r="E89">
        <v>31.21</v>
      </c>
      <c r="F89">
        <v>31.98</v>
      </c>
      <c r="G89">
        <v>6978683</v>
      </c>
      <c r="H89">
        <v>221674736</v>
      </c>
      <c r="I89" s="13">
        <f t="shared" si="4"/>
        <v>31.645999999999997</v>
      </c>
      <c r="J89" s="13">
        <f t="shared" si="5"/>
        <v>31.442</v>
      </c>
      <c r="K89" s="13">
        <f t="shared" si="6"/>
        <v>30.954499999999996</v>
      </c>
      <c r="L89" s="13">
        <f t="shared" si="7"/>
        <v>29.229833333333339</v>
      </c>
      <c r="M89" t="s">
        <v>16</v>
      </c>
    </row>
    <row r="90" spans="1:13" x14ac:dyDescent="0.2">
      <c r="A90" s="10">
        <v>42893</v>
      </c>
      <c r="C90">
        <v>32.18</v>
      </c>
      <c r="D90">
        <v>32.950000000000003</v>
      </c>
      <c r="E90">
        <v>32.01</v>
      </c>
      <c r="F90">
        <v>32.619999999999997</v>
      </c>
      <c r="G90">
        <v>13157734</v>
      </c>
      <c r="H90">
        <v>429622080</v>
      </c>
      <c r="I90" s="13">
        <f>SUM(F85:F89)/5</f>
        <v>31.836000000000002</v>
      </c>
      <c r="J90" s="13">
        <f>SUM(F80:F89)/10</f>
        <v>31.573</v>
      </c>
      <c r="K90" s="13">
        <f>SUM(F70:F89)/20</f>
        <v>31.057500000000005</v>
      </c>
      <c r="L90" s="13">
        <f>SUM(F30:F89)/60</f>
        <v>29.327166666666674</v>
      </c>
      <c r="M90" t="s">
        <v>18</v>
      </c>
    </row>
    <row r="91" spans="1:13" x14ac:dyDescent="0.2">
      <c r="A91" s="10">
        <v>42894</v>
      </c>
      <c r="C91">
        <v>32.64</v>
      </c>
      <c r="D91">
        <v>33.56</v>
      </c>
      <c r="E91">
        <v>32.51</v>
      </c>
      <c r="F91">
        <v>33.29</v>
      </c>
      <c r="G91">
        <v>11814884</v>
      </c>
      <c r="H91">
        <v>392341088</v>
      </c>
      <c r="I91" s="13">
        <f t="shared" ref="I91:I101" si="8">SUM(F86:F90)/5</f>
        <v>32.024000000000001</v>
      </c>
      <c r="J91" s="13">
        <f t="shared" ref="J91:J101" si="9">SUM(F81:F90)/10</f>
        <v>31.729000000000003</v>
      </c>
      <c r="K91" s="13">
        <f t="shared" ref="K91:K101" si="10">SUM(F71:F90)/20</f>
        <v>31.187500000000007</v>
      </c>
      <c r="L91" s="13">
        <f t="shared" ref="L91:L101" si="11">SUM(F31:F90)/60</f>
        <v>29.438833333333335</v>
      </c>
      <c r="M91" t="s">
        <v>12</v>
      </c>
    </row>
    <row r="92" spans="1:13" x14ac:dyDescent="0.2">
      <c r="A92" s="10">
        <v>42895</v>
      </c>
      <c r="C92">
        <v>33.43</v>
      </c>
      <c r="D92">
        <v>33.83</v>
      </c>
      <c r="E92">
        <v>32.96</v>
      </c>
      <c r="F92">
        <v>33.06</v>
      </c>
      <c r="G92">
        <v>9331948</v>
      </c>
      <c r="H92">
        <v>309936096</v>
      </c>
      <c r="I92" s="13">
        <f t="shared" si="8"/>
        <v>32.245999999999995</v>
      </c>
      <c r="J92" s="13">
        <f t="shared" si="9"/>
        <v>31.907999999999998</v>
      </c>
      <c r="K92" s="13">
        <f t="shared" si="10"/>
        <v>31.386500000000002</v>
      </c>
      <c r="L92" s="13">
        <f t="shared" si="11"/>
        <v>29.568666666666669</v>
      </c>
      <c r="M92" t="s">
        <v>12</v>
      </c>
    </row>
    <row r="93" spans="1:13" x14ac:dyDescent="0.2">
      <c r="A93" s="10">
        <v>42898</v>
      </c>
      <c r="C93">
        <v>32.97</v>
      </c>
      <c r="D93">
        <v>33.82</v>
      </c>
      <c r="E93">
        <v>32.89</v>
      </c>
      <c r="F93">
        <v>33.14</v>
      </c>
      <c r="G93">
        <v>11347580</v>
      </c>
      <c r="H93">
        <v>378438656</v>
      </c>
      <c r="I93" s="13">
        <f t="shared" si="8"/>
        <v>32.480000000000004</v>
      </c>
      <c r="J93" s="13">
        <f t="shared" si="9"/>
        <v>32.047999999999995</v>
      </c>
      <c r="K93" s="13">
        <f t="shared" si="10"/>
        <v>31.540499999999998</v>
      </c>
      <c r="L93" s="13">
        <f t="shared" si="11"/>
        <v>29.689666666666668</v>
      </c>
      <c r="M93" t="s">
        <v>12</v>
      </c>
    </row>
    <row r="94" spans="1:13" x14ac:dyDescent="0.2">
      <c r="A94" s="10">
        <v>42899</v>
      </c>
      <c r="C94">
        <v>33.14</v>
      </c>
      <c r="D94">
        <v>33.409999999999997</v>
      </c>
      <c r="E94">
        <v>32.75</v>
      </c>
      <c r="F94">
        <v>33.4</v>
      </c>
      <c r="G94">
        <v>9343245</v>
      </c>
      <c r="H94">
        <v>309472864</v>
      </c>
      <c r="I94" s="13">
        <f t="shared" si="8"/>
        <v>32.817999999999998</v>
      </c>
      <c r="J94" s="13">
        <f t="shared" si="9"/>
        <v>32.231999999999999</v>
      </c>
      <c r="K94" s="13">
        <f t="shared" si="10"/>
        <v>31.689499999999992</v>
      </c>
      <c r="L94" s="13">
        <f t="shared" si="11"/>
        <v>29.80883333333334</v>
      </c>
      <c r="M94" t="s">
        <v>12</v>
      </c>
    </row>
    <row r="95" spans="1:13" x14ac:dyDescent="0.2">
      <c r="A95" s="10">
        <v>42900</v>
      </c>
      <c r="C95">
        <v>33.39</v>
      </c>
      <c r="D95">
        <v>33.450000000000003</v>
      </c>
      <c r="E95">
        <v>32</v>
      </c>
      <c r="F95">
        <v>32.409999999999997</v>
      </c>
      <c r="G95">
        <v>17624048</v>
      </c>
      <c r="H95">
        <v>574155456</v>
      </c>
      <c r="I95" s="13">
        <f t="shared" si="8"/>
        <v>33.102000000000004</v>
      </c>
      <c r="J95" s="13">
        <f t="shared" si="9"/>
        <v>32.468999999999994</v>
      </c>
      <c r="K95" s="13">
        <f t="shared" si="10"/>
        <v>31.8005</v>
      </c>
      <c r="L95" s="13">
        <f t="shared" si="11"/>
        <v>29.92400000000001</v>
      </c>
      <c r="M95" t="s">
        <v>12</v>
      </c>
    </row>
    <row r="96" spans="1:13" x14ac:dyDescent="0.2">
      <c r="A96" s="10">
        <v>42901</v>
      </c>
      <c r="C96">
        <v>32.32</v>
      </c>
      <c r="D96">
        <v>32.47</v>
      </c>
      <c r="E96">
        <v>31.63</v>
      </c>
      <c r="F96">
        <v>32.049999999999997</v>
      </c>
      <c r="G96">
        <v>16404016</v>
      </c>
      <c r="H96">
        <v>523411872</v>
      </c>
      <c r="I96" s="13">
        <f t="shared" si="8"/>
        <v>33.059999999999995</v>
      </c>
      <c r="J96" s="13">
        <f t="shared" si="9"/>
        <v>32.541999999999994</v>
      </c>
      <c r="K96" s="13">
        <f t="shared" si="10"/>
        <v>31.848499999999994</v>
      </c>
      <c r="L96" s="13">
        <f t="shared" si="11"/>
        <v>30.021000000000011</v>
      </c>
      <c r="M96" t="s">
        <v>12</v>
      </c>
    </row>
    <row r="97" spans="1:13" x14ac:dyDescent="0.2">
      <c r="A97" s="10">
        <v>42902</v>
      </c>
      <c r="C97">
        <v>32</v>
      </c>
      <c r="D97">
        <v>32.39</v>
      </c>
      <c r="E97">
        <v>31.71</v>
      </c>
      <c r="F97">
        <v>32.020000000000003</v>
      </c>
      <c r="G97">
        <v>11070119</v>
      </c>
      <c r="H97">
        <v>354586816</v>
      </c>
      <c r="I97" s="13">
        <f t="shared" si="8"/>
        <v>32.811999999999998</v>
      </c>
      <c r="J97" s="13">
        <f t="shared" si="9"/>
        <v>32.529000000000003</v>
      </c>
      <c r="K97" s="13">
        <f t="shared" si="10"/>
        <v>31.857999999999997</v>
      </c>
      <c r="L97" s="13">
        <f t="shared" si="11"/>
        <v>30.111833333333337</v>
      </c>
      <c r="M97" t="s">
        <v>12</v>
      </c>
    </row>
    <row r="98" spans="1:13" x14ac:dyDescent="0.2">
      <c r="A98" s="10">
        <v>42905</v>
      </c>
      <c r="C98">
        <v>31.99</v>
      </c>
      <c r="D98">
        <v>32.25</v>
      </c>
      <c r="E98">
        <v>31.68</v>
      </c>
      <c r="F98">
        <v>32.18</v>
      </c>
      <c r="G98">
        <v>8428454</v>
      </c>
      <c r="H98">
        <v>269920864</v>
      </c>
      <c r="I98" s="13">
        <f t="shared" si="8"/>
        <v>32.603999999999999</v>
      </c>
      <c r="J98" s="13">
        <f t="shared" si="9"/>
        <v>32.542000000000002</v>
      </c>
      <c r="K98" s="13">
        <f t="shared" si="10"/>
        <v>31.942499999999995</v>
      </c>
      <c r="L98" s="13">
        <f t="shared" si="11"/>
        <v>30.196000000000009</v>
      </c>
      <c r="M98" t="s">
        <v>12</v>
      </c>
    </row>
    <row r="99" spans="1:13" x14ac:dyDescent="0.2">
      <c r="A99" s="10">
        <v>42906</v>
      </c>
      <c r="C99">
        <v>32.19</v>
      </c>
      <c r="D99">
        <v>32.28</v>
      </c>
      <c r="E99">
        <v>31.8</v>
      </c>
      <c r="F99">
        <v>31.9</v>
      </c>
      <c r="G99">
        <v>10604496</v>
      </c>
      <c r="H99">
        <v>338980704</v>
      </c>
      <c r="I99" s="13">
        <f t="shared" si="8"/>
        <v>32.411999999999999</v>
      </c>
      <c r="J99" s="13">
        <f t="shared" si="9"/>
        <v>32.614999999999995</v>
      </c>
      <c r="K99" s="13">
        <f t="shared" si="10"/>
        <v>32.028499999999994</v>
      </c>
      <c r="L99" s="13">
        <f t="shared" si="11"/>
        <v>30.272166666666674</v>
      </c>
      <c r="M99" t="s">
        <v>12</v>
      </c>
    </row>
    <row r="100" spans="1:13" x14ac:dyDescent="0.2">
      <c r="A100" s="10">
        <v>42907</v>
      </c>
      <c r="C100">
        <v>31.95</v>
      </c>
      <c r="D100">
        <v>32.840000000000003</v>
      </c>
      <c r="E100">
        <v>31.65</v>
      </c>
      <c r="F100">
        <v>32.799999999999997</v>
      </c>
      <c r="G100">
        <v>15482735</v>
      </c>
      <c r="H100">
        <v>497180768</v>
      </c>
      <c r="I100" s="13">
        <f t="shared" si="8"/>
        <v>32.112000000000002</v>
      </c>
      <c r="J100" s="13">
        <f t="shared" si="9"/>
        <v>32.606999999999999</v>
      </c>
      <c r="K100" s="13">
        <f t="shared" si="10"/>
        <v>32.089999999999989</v>
      </c>
      <c r="L100" s="13">
        <f t="shared" si="11"/>
        <v>30.342333333333336</v>
      </c>
      <c r="M100" t="s">
        <v>12</v>
      </c>
    </row>
    <row r="101" spans="1:13" x14ac:dyDescent="0.2">
      <c r="A101" s="10">
        <v>42908</v>
      </c>
      <c r="C101">
        <v>32.659999999999997</v>
      </c>
      <c r="D101">
        <v>32.770000000000003</v>
      </c>
      <c r="E101">
        <v>29.89</v>
      </c>
      <c r="F101">
        <v>30.17</v>
      </c>
      <c r="G101">
        <v>51451023</v>
      </c>
      <c r="H101">
        <v>1592503296</v>
      </c>
      <c r="I101" s="13">
        <f t="shared" si="8"/>
        <v>32.19</v>
      </c>
      <c r="J101" s="13">
        <f t="shared" si="9"/>
        <v>32.624999999999993</v>
      </c>
      <c r="K101" s="13">
        <f t="shared" si="10"/>
        <v>32.176999999999992</v>
      </c>
      <c r="L101" s="13">
        <f t="shared" si="11"/>
        <v>30.413333333333338</v>
      </c>
      <c r="M101" t="s">
        <v>115</v>
      </c>
    </row>
    <row r="102" spans="1:13" x14ac:dyDescent="0.2">
      <c r="A102" s="10">
        <v>42909</v>
      </c>
      <c r="C102">
        <v>30.6</v>
      </c>
      <c r="D102">
        <v>31.36</v>
      </c>
      <c r="E102">
        <v>30.18</v>
      </c>
      <c r="F102">
        <v>31.18</v>
      </c>
      <c r="G102">
        <v>40672513</v>
      </c>
      <c r="H102">
        <v>1253590400</v>
      </c>
      <c r="I102" s="13">
        <f>SUM(F97:F101)/5</f>
        <v>31.814</v>
      </c>
      <c r="J102" s="13">
        <f>SUM(F92:F101)/10</f>
        <v>32.313000000000002</v>
      </c>
      <c r="K102" s="13">
        <f>SUM(F82:F101)/20</f>
        <v>32.110499999999988</v>
      </c>
      <c r="L102" s="13">
        <f>SUM(F42:F101)/60</f>
        <v>30.44283333333334</v>
      </c>
      <c r="M102" t="s">
        <v>19</v>
      </c>
    </row>
    <row r="103" spans="1:13" x14ac:dyDescent="0.2">
      <c r="A103" s="10">
        <v>42912</v>
      </c>
      <c r="C103">
        <v>31.23</v>
      </c>
      <c r="D103">
        <v>31.65</v>
      </c>
      <c r="E103">
        <v>30.73</v>
      </c>
      <c r="F103">
        <v>31.56</v>
      </c>
      <c r="G103">
        <v>24087305</v>
      </c>
      <c r="H103">
        <v>752044224</v>
      </c>
      <c r="I103" s="13">
        <f t="shared" ref="I103:I125" si="12">SUM(F98:F102)/5</f>
        <v>31.645999999999997</v>
      </c>
      <c r="J103" s="13">
        <f t="shared" ref="J103:J125" si="13">SUM(F93:F102)/10</f>
        <v>32.125000000000007</v>
      </c>
      <c r="K103" s="13">
        <f t="shared" ref="K103:K125" si="14">SUM(F83:F102)/20</f>
        <v>32.086499999999987</v>
      </c>
      <c r="L103" s="13">
        <f t="shared" ref="L103:L125" si="15">SUM(F43:F102)/60</f>
        <v>30.493666666666677</v>
      </c>
      <c r="M103" t="s">
        <v>20</v>
      </c>
    </row>
    <row r="104" spans="1:13" x14ac:dyDescent="0.2">
      <c r="A104" s="10">
        <v>42913</v>
      </c>
      <c r="C104">
        <v>31.58</v>
      </c>
      <c r="D104">
        <v>31.63</v>
      </c>
      <c r="E104">
        <v>30.88</v>
      </c>
      <c r="F104">
        <v>31.25</v>
      </c>
      <c r="G104">
        <v>14640949</v>
      </c>
      <c r="H104">
        <v>457664768</v>
      </c>
      <c r="I104" s="13">
        <f t="shared" si="12"/>
        <v>31.521999999999998</v>
      </c>
      <c r="J104" s="13">
        <f t="shared" si="13"/>
        <v>31.967000000000002</v>
      </c>
      <c r="K104" s="13">
        <f t="shared" si="14"/>
        <v>32.099499999999992</v>
      </c>
      <c r="L104" s="13">
        <f t="shared" si="15"/>
        <v>30.554666666666673</v>
      </c>
      <c r="M104" t="s">
        <v>22</v>
      </c>
    </row>
    <row r="105" spans="1:13" x14ac:dyDescent="0.2">
      <c r="A105" s="10">
        <v>42914</v>
      </c>
      <c r="C105">
        <v>31.18</v>
      </c>
      <c r="D105">
        <v>31.45</v>
      </c>
      <c r="E105">
        <v>30.62</v>
      </c>
      <c r="F105">
        <v>30.8</v>
      </c>
      <c r="G105">
        <v>10467334</v>
      </c>
      <c r="H105">
        <v>324577952</v>
      </c>
      <c r="I105" s="13">
        <f t="shared" si="12"/>
        <v>31.392000000000003</v>
      </c>
      <c r="J105" s="13">
        <f t="shared" si="13"/>
        <v>31.752000000000002</v>
      </c>
      <c r="K105" s="13">
        <f t="shared" si="14"/>
        <v>32.110499999999988</v>
      </c>
      <c r="L105" s="13">
        <f t="shared" si="15"/>
        <v>30.606500000000008</v>
      </c>
      <c r="M105" s="3" t="s">
        <v>11</v>
      </c>
    </row>
    <row r="106" spans="1:13" x14ac:dyDescent="0.2">
      <c r="A106" s="10">
        <v>42915</v>
      </c>
      <c r="C106">
        <v>30.82</v>
      </c>
      <c r="D106">
        <v>30.98</v>
      </c>
      <c r="E106">
        <v>30.35</v>
      </c>
      <c r="F106">
        <v>30.72</v>
      </c>
      <c r="G106">
        <v>11647746</v>
      </c>
      <c r="H106">
        <v>356733312</v>
      </c>
      <c r="I106" s="13">
        <f t="shared" si="12"/>
        <v>30.992000000000001</v>
      </c>
      <c r="J106" s="13">
        <f t="shared" si="13"/>
        <v>31.591000000000001</v>
      </c>
      <c r="K106" s="13">
        <f t="shared" si="14"/>
        <v>32.066499999999991</v>
      </c>
      <c r="L106" s="13">
        <f t="shared" si="15"/>
        <v>30.661833333333341</v>
      </c>
      <c r="M106" s="3" t="s">
        <v>11</v>
      </c>
    </row>
    <row r="107" spans="1:13" x14ac:dyDescent="0.2">
      <c r="A107" s="10">
        <v>42916</v>
      </c>
      <c r="C107">
        <v>30.61</v>
      </c>
      <c r="D107">
        <v>31.18</v>
      </c>
      <c r="E107">
        <v>30.43</v>
      </c>
      <c r="F107">
        <v>30.99</v>
      </c>
      <c r="G107">
        <v>14712612</v>
      </c>
      <c r="H107">
        <v>453697312</v>
      </c>
      <c r="I107" s="13">
        <f t="shared" si="12"/>
        <v>31.101999999999997</v>
      </c>
      <c r="J107" s="13">
        <f t="shared" si="13"/>
        <v>31.458000000000006</v>
      </c>
      <c r="K107" s="13">
        <f t="shared" si="14"/>
        <v>31.993499999999994</v>
      </c>
      <c r="L107" s="13">
        <f t="shared" si="15"/>
        <v>30.712333333333341</v>
      </c>
      <c r="M107" s="3" t="s">
        <v>11</v>
      </c>
    </row>
    <row r="108" spans="1:13" x14ac:dyDescent="0.2">
      <c r="A108" s="10">
        <v>42919</v>
      </c>
      <c r="C108">
        <v>30.95</v>
      </c>
      <c r="D108">
        <v>31.65</v>
      </c>
      <c r="E108">
        <v>30.78</v>
      </c>
      <c r="F108">
        <v>31.3</v>
      </c>
      <c r="G108">
        <v>14101962</v>
      </c>
      <c r="H108">
        <v>442813472</v>
      </c>
      <c r="I108" s="13">
        <f t="shared" si="12"/>
        <v>31.064</v>
      </c>
      <c r="J108" s="13">
        <f t="shared" si="13"/>
        <v>31.355</v>
      </c>
      <c r="K108" s="13">
        <f t="shared" si="14"/>
        <v>31.948500000000003</v>
      </c>
      <c r="L108" s="13">
        <f t="shared" si="15"/>
        <v>30.758500000000005</v>
      </c>
      <c r="M108" s="3" t="s">
        <v>11</v>
      </c>
    </row>
    <row r="109" spans="1:13" x14ac:dyDescent="0.2">
      <c r="A109" s="10">
        <v>42920</v>
      </c>
      <c r="C109">
        <v>31.12</v>
      </c>
      <c r="D109">
        <v>31.41</v>
      </c>
      <c r="E109">
        <v>30.64</v>
      </c>
      <c r="F109">
        <v>31.26</v>
      </c>
      <c r="G109">
        <v>14023102</v>
      </c>
      <c r="H109">
        <v>434953792</v>
      </c>
      <c r="I109" s="13">
        <f t="shared" si="12"/>
        <v>31.012</v>
      </c>
      <c r="J109" s="13">
        <f t="shared" si="13"/>
        <v>31.267000000000003</v>
      </c>
      <c r="K109" s="13">
        <f t="shared" si="14"/>
        <v>31.940999999999995</v>
      </c>
      <c r="L109" s="13">
        <f t="shared" si="15"/>
        <v>30.813666666666673</v>
      </c>
      <c r="M109" s="3" t="s">
        <v>11</v>
      </c>
    </row>
    <row r="110" spans="1:13" x14ac:dyDescent="0.2">
      <c r="A110" s="10">
        <v>42921</v>
      </c>
      <c r="C110">
        <v>31.18</v>
      </c>
      <c r="D110">
        <v>31.62</v>
      </c>
      <c r="E110">
        <v>31</v>
      </c>
      <c r="F110">
        <v>31.34</v>
      </c>
      <c r="G110">
        <v>8609442</v>
      </c>
      <c r="H110">
        <v>270698880</v>
      </c>
      <c r="I110" s="13">
        <f t="shared" si="12"/>
        <v>31.013999999999999</v>
      </c>
      <c r="J110" s="13">
        <f t="shared" si="13"/>
        <v>31.203000000000003</v>
      </c>
      <c r="K110" s="13">
        <f t="shared" si="14"/>
        <v>31.905000000000001</v>
      </c>
      <c r="L110" s="13">
        <f t="shared" si="15"/>
        <v>30.855166666666673</v>
      </c>
      <c r="M110" s="3" t="s">
        <v>11</v>
      </c>
    </row>
    <row r="111" spans="1:13" x14ac:dyDescent="0.2">
      <c r="A111" s="10">
        <v>42922</v>
      </c>
      <c r="C111">
        <v>31.34</v>
      </c>
      <c r="D111">
        <v>31.4</v>
      </c>
      <c r="E111">
        <v>28.56</v>
      </c>
      <c r="F111">
        <v>30.19</v>
      </c>
      <c r="G111">
        <v>55380864</v>
      </c>
      <c r="H111">
        <v>1642561280</v>
      </c>
      <c r="I111" s="13">
        <f t="shared" si="12"/>
        <v>31.121999999999996</v>
      </c>
      <c r="J111" s="13">
        <f t="shared" si="13"/>
        <v>31.056999999999999</v>
      </c>
      <c r="K111" s="13">
        <f t="shared" si="14"/>
        <v>31.840999999999998</v>
      </c>
      <c r="L111" s="13">
        <f t="shared" si="15"/>
        <v>30.899833333333337</v>
      </c>
      <c r="M111" t="s">
        <v>21</v>
      </c>
    </row>
    <row r="112" spans="1:13" x14ac:dyDescent="0.2">
      <c r="A112" s="10">
        <v>42923</v>
      </c>
      <c r="C112">
        <v>29.99</v>
      </c>
      <c r="D112">
        <v>30.16</v>
      </c>
      <c r="E112">
        <v>29.52</v>
      </c>
      <c r="F112">
        <v>29.88</v>
      </c>
      <c r="G112">
        <v>22597122</v>
      </c>
      <c r="H112">
        <v>673936000</v>
      </c>
      <c r="I112" s="13">
        <f t="shared" si="12"/>
        <v>31.016000000000002</v>
      </c>
      <c r="J112" s="13">
        <f t="shared" si="13"/>
        <v>31.058999999999997</v>
      </c>
      <c r="K112" s="13">
        <f t="shared" si="14"/>
        <v>31.686000000000007</v>
      </c>
      <c r="L112" s="13">
        <f t="shared" si="15"/>
        <v>30.932166666666667</v>
      </c>
      <c r="M112" t="s">
        <v>23</v>
      </c>
    </row>
    <row r="113" spans="1:13" x14ac:dyDescent="0.2">
      <c r="A113" s="10">
        <v>42926</v>
      </c>
      <c r="C113">
        <v>29.75</v>
      </c>
      <c r="D113">
        <v>29.75</v>
      </c>
      <c r="E113">
        <v>28.62</v>
      </c>
      <c r="F113">
        <v>28.96</v>
      </c>
      <c r="G113">
        <v>24960344</v>
      </c>
      <c r="H113">
        <v>724629440</v>
      </c>
      <c r="I113" s="13">
        <f t="shared" si="12"/>
        <v>30.794</v>
      </c>
      <c r="J113" s="13">
        <f t="shared" si="13"/>
        <v>30.929000000000002</v>
      </c>
      <c r="K113" s="13">
        <f t="shared" si="14"/>
        <v>31.527000000000008</v>
      </c>
      <c r="L113" s="13">
        <f t="shared" si="15"/>
        <v>30.961333333333336</v>
      </c>
      <c r="M113" t="s">
        <v>24</v>
      </c>
    </row>
    <row r="114" spans="1:13" x14ac:dyDescent="0.2">
      <c r="A114" s="10">
        <v>42927</v>
      </c>
      <c r="C114">
        <v>29</v>
      </c>
      <c r="D114">
        <v>29.73</v>
      </c>
      <c r="E114">
        <v>29</v>
      </c>
      <c r="F114">
        <v>29.49</v>
      </c>
      <c r="G114">
        <v>17731555</v>
      </c>
      <c r="H114">
        <v>520737856</v>
      </c>
      <c r="I114" s="13">
        <f t="shared" si="12"/>
        <v>30.326000000000001</v>
      </c>
      <c r="J114" s="13">
        <f t="shared" si="13"/>
        <v>30.669</v>
      </c>
      <c r="K114" s="13">
        <f t="shared" si="14"/>
        <v>31.318000000000005</v>
      </c>
      <c r="L114" s="13">
        <f t="shared" si="15"/>
        <v>30.974499999999999</v>
      </c>
      <c r="M114" t="s">
        <v>25</v>
      </c>
    </row>
    <row r="115" spans="1:13" x14ac:dyDescent="0.2">
      <c r="A115" s="10">
        <v>42928</v>
      </c>
      <c r="C115">
        <v>29.49</v>
      </c>
      <c r="D115">
        <v>29.61</v>
      </c>
      <c r="E115">
        <v>29.05</v>
      </c>
      <c r="F115">
        <v>29.24</v>
      </c>
      <c r="G115">
        <v>14260848</v>
      </c>
      <c r="H115">
        <v>417444576</v>
      </c>
      <c r="I115" s="13">
        <f t="shared" si="12"/>
        <v>29.972000000000001</v>
      </c>
      <c r="J115" s="13">
        <f t="shared" si="13"/>
        <v>30.493000000000002</v>
      </c>
      <c r="K115" s="13">
        <f t="shared" si="14"/>
        <v>31.122500000000009</v>
      </c>
      <c r="L115" s="13">
        <f t="shared" si="15"/>
        <v>30.979499999999998</v>
      </c>
    </row>
    <row r="116" spans="1:13" x14ac:dyDescent="0.2">
      <c r="A116" s="10">
        <v>42929</v>
      </c>
      <c r="C116">
        <v>29.33</v>
      </c>
      <c r="D116">
        <v>30.23</v>
      </c>
      <c r="E116">
        <v>29.31</v>
      </c>
      <c r="F116">
        <v>29.71</v>
      </c>
      <c r="G116">
        <v>18110194</v>
      </c>
      <c r="H116">
        <v>541708352</v>
      </c>
      <c r="I116" s="13">
        <f t="shared" si="12"/>
        <v>29.552</v>
      </c>
      <c r="J116" s="13">
        <f t="shared" si="13"/>
        <v>30.337</v>
      </c>
      <c r="K116" s="13">
        <f t="shared" si="14"/>
        <v>30.964000000000006</v>
      </c>
      <c r="L116" s="13">
        <f t="shared" si="15"/>
        <v>30.980333333333338</v>
      </c>
    </row>
    <row r="117" spans="1:13" x14ac:dyDescent="0.2">
      <c r="A117" s="10">
        <v>42930</v>
      </c>
      <c r="C117">
        <v>29.94</v>
      </c>
      <c r="D117">
        <v>30.55</v>
      </c>
      <c r="E117">
        <v>29.9</v>
      </c>
      <c r="F117">
        <v>29.98</v>
      </c>
      <c r="G117">
        <v>12769486</v>
      </c>
      <c r="H117">
        <v>385955584</v>
      </c>
      <c r="I117" s="13">
        <f t="shared" si="12"/>
        <v>29.456</v>
      </c>
      <c r="J117" s="13">
        <f t="shared" si="13"/>
        <v>30.236000000000001</v>
      </c>
      <c r="K117" s="13">
        <f t="shared" si="14"/>
        <v>30.847000000000001</v>
      </c>
      <c r="L117" s="13">
        <f t="shared" si="15"/>
        <v>30.987833333333338</v>
      </c>
    </row>
    <row r="118" spans="1:13" x14ac:dyDescent="0.2">
      <c r="A118" s="10">
        <v>42933</v>
      </c>
      <c r="C118">
        <v>29.87</v>
      </c>
      <c r="D118">
        <v>30.24</v>
      </c>
      <c r="E118">
        <v>29.12</v>
      </c>
      <c r="F118">
        <v>29.91</v>
      </c>
      <c r="G118">
        <v>13432924</v>
      </c>
      <c r="H118">
        <v>400233376</v>
      </c>
      <c r="I118" s="13">
        <f t="shared" si="12"/>
        <v>29.475999999999999</v>
      </c>
      <c r="J118" s="13">
        <f t="shared" si="13"/>
        <v>30.135000000000002</v>
      </c>
      <c r="K118" s="13">
        <f t="shared" si="14"/>
        <v>30.744999999999997</v>
      </c>
      <c r="L118" s="13">
        <f t="shared" si="15"/>
        <v>30.98533333333334</v>
      </c>
      <c r="M118" t="s">
        <v>26</v>
      </c>
    </row>
    <row r="119" spans="1:13" x14ac:dyDescent="0.2">
      <c r="A119" s="10">
        <v>42934</v>
      </c>
      <c r="C119">
        <v>29.52</v>
      </c>
      <c r="D119">
        <v>29.65</v>
      </c>
      <c r="E119">
        <v>28</v>
      </c>
      <c r="F119">
        <v>28.71</v>
      </c>
      <c r="G119">
        <v>29608809</v>
      </c>
      <c r="H119">
        <v>845387136</v>
      </c>
      <c r="I119" s="13">
        <f t="shared" si="12"/>
        <v>29.666000000000004</v>
      </c>
      <c r="J119" s="13">
        <f t="shared" si="13"/>
        <v>29.996000000000002</v>
      </c>
      <c r="K119" s="13">
        <f t="shared" si="14"/>
        <v>30.631499999999999</v>
      </c>
      <c r="L119" s="13">
        <f t="shared" si="15"/>
        <v>30.978166666666674</v>
      </c>
      <c r="M119" s="3" t="s">
        <v>11</v>
      </c>
    </row>
    <row r="120" spans="1:13" x14ac:dyDescent="0.2">
      <c r="A120" s="10">
        <v>42935</v>
      </c>
      <c r="C120">
        <v>28.79</v>
      </c>
      <c r="D120">
        <v>28.95</v>
      </c>
      <c r="E120">
        <v>28.37</v>
      </c>
      <c r="F120">
        <v>28.82</v>
      </c>
      <c r="G120">
        <v>15279100</v>
      </c>
      <c r="H120">
        <v>438024288</v>
      </c>
      <c r="I120" s="13">
        <f t="shared" si="12"/>
        <v>29.51</v>
      </c>
      <c r="J120" s="13">
        <f t="shared" si="13"/>
        <v>29.741000000000003</v>
      </c>
      <c r="K120" s="13">
        <f t="shared" si="14"/>
        <v>30.472000000000001</v>
      </c>
      <c r="L120" s="13">
        <f t="shared" si="15"/>
        <v>30.940000000000008</v>
      </c>
      <c r="M120" t="s">
        <v>27</v>
      </c>
    </row>
    <row r="121" spans="1:13" x14ac:dyDescent="0.2">
      <c r="A121" s="10">
        <v>42936</v>
      </c>
      <c r="C121">
        <v>28.8</v>
      </c>
      <c r="D121">
        <v>28.98</v>
      </c>
      <c r="E121">
        <v>28.32</v>
      </c>
      <c r="F121">
        <v>28.53</v>
      </c>
      <c r="G121">
        <v>17465142</v>
      </c>
      <c r="H121">
        <v>499423552</v>
      </c>
      <c r="I121" s="13">
        <f t="shared" si="12"/>
        <v>29.425999999999998</v>
      </c>
      <c r="J121" s="13">
        <f t="shared" si="13"/>
        <v>29.488999999999997</v>
      </c>
      <c r="K121" s="13">
        <f t="shared" si="14"/>
        <v>30.273000000000003</v>
      </c>
      <c r="L121" s="13">
        <f t="shared" si="15"/>
        <v>30.908000000000005</v>
      </c>
      <c r="M121" s="3" t="s">
        <v>11</v>
      </c>
    </row>
    <row r="122" spans="1:13" x14ac:dyDescent="0.2">
      <c r="A122" s="10">
        <v>42937</v>
      </c>
      <c r="C122">
        <v>28.52</v>
      </c>
      <c r="D122">
        <v>28.88</v>
      </c>
      <c r="E122">
        <v>28.4</v>
      </c>
      <c r="F122">
        <v>28.61</v>
      </c>
      <c r="G122">
        <v>9933022</v>
      </c>
      <c r="H122">
        <v>284547104</v>
      </c>
      <c r="I122" s="13">
        <f t="shared" si="12"/>
        <v>29.189999999999998</v>
      </c>
      <c r="J122" s="13">
        <f t="shared" si="13"/>
        <v>29.323</v>
      </c>
      <c r="K122" s="13">
        <f t="shared" si="14"/>
        <v>30.191000000000003</v>
      </c>
      <c r="L122" s="13">
        <f t="shared" si="15"/>
        <v>30.871166666666667</v>
      </c>
      <c r="M122" t="s">
        <v>28</v>
      </c>
    </row>
    <row r="123" spans="1:13" x14ac:dyDescent="0.2">
      <c r="A123" s="10">
        <v>42940</v>
      </c>
      <c r="C123">
        <v>28.93</v>
      </c>
      <c r="D123">
        <v>29.68</v>
      </c>
      <c r="E123">
        <v>28.93</v>
      </c>
      <c r="F123">
        <v>29.15</v>
      </c>
      <c r="G123">
        <v>16568371</v>
      </c>
      <c r="H123">
        <v>486254400</v>
      </c>
      <c r="I123" s="13">
        <f t="shared" si="12"/>
        <v>28.915999999999997</v>
      </c>
      <c r="J123" s="13">
        <f t="shared" si="13"/>
        <v>29.196000000000005</v>
      </c>
      <c r="K123" s="13">
        <f t="shared" si="14"/>
        <v>30.062500000000007</v>
      </c>
      <c r="L123" s="13">
        <f t="shared" si="15"/>
        <v>30.843499999999999</v>
      </c>
    </row>
    <row r="124" spans="1:13" x14ac:dyDescent="0.2">
      <c r="A124" s="10">
        <v>42941</v>
      </c>
      <c r="C124">
        <v>29.16</v>
      </c>
      <c r="D124">
        <v>29.92</v>
      </c>
      <c r="E124">
        <v>29.16</v>
      </c>
      <c r="F124">
        <v>29.58</v>
      </c>
      <c r="G124">
        <v>15581400</v>
      </c>
      <c r="H124">
        <v>461179040</v>
      </c>
      <c r="I124" s="13">
        <f t="shared" si="12"/>
        <v>28.763999999999999</v>
      </c>
      <c r="J124" s="13">
        <f t="shared" si="13"/>
        <v>29.214999999999996</v>
      </c>
      <c r="K124" s="13">
        <f t="shared" si="14"/>
        <v>29.942</v>
      </c>
      <c r="L124" s="13">
        <f t="shared" si="15"/>
        <v>30.831166666666668</v>
      </c>
    </row>
    <row r="125" spans="1:13" x14ac:dyDescent="0.2">
      <c r="A125" s="10">
        <v>42942</v>
      </c>
      <c r="C125">
        <v>29.75</v>
      </c>
      <c r="D125">
        <v>29.87</v>
      </c>
      <c r="E125">
        <v>28.92</v>
      </c>
      <c r="F125">
        <v>29.06</v>
      </c>
      <c r="G125">
        <v>10125600</v>
      </c>
      <c r="H125">
        <v>295570336</v>
      </c>
      <c r="I125" s="13">
        <f t="shared" si="12"/>
        <v>28.937999999999999</v>
      </c>
      <c r="J125" s="13">
        <f t="shared" si="13"/>
        <v>29.223999999999997</v>
      </c>
      <c r="K125" s="13">
        <f t="shared" si="14"/>
        <v>29.858500000000003</v>
      </c>
      <c r="L125" s="13">
        <f t="shared" si="15"/>
        <v>30.820833333333333</v>
      </c>
    </row>
    <row r="126" spans="1:13" x14ac:dyDescent="0.2">
      <c r="A126" s="10">
        <v>42943</v>
      </c>
      <c r="C126">
        <v>29.2</v>
      </c>
      <c r="D126">
        <v>29.2</v>
      </c>
      <c r="E126">
        <v>28.37</v>
      </c>
      <c r="F126">
        <v>28.78</v>
      </c>
      <c r="G126">
        <v>9017839</v>
      </c>
      <c r="H126">
        <v>258093488</v>
      </c>
      <c r="I126" s="13">
        <f>SUM(F121:F125)/5</f>
        <v>28.985999999999997</v>
      </c>
      <c r="J126" s="13">
        <f>SUM(F116:F125)/10</f>
        <v>29.206</v>
      </c>
      <c r="K126" s="13">
        <f>SUM(F106:F125)/20</f>
        <v>29.771499999999996</v>
      </c>
      <c r="L126" s="13">
        <f>SUM(F66:F125)/60</f>
        <v>30.81283333333333</v>
      </c>
      <c r="M126" t="s">
        <v>38</v>
      </c>
    </row>
    <row r="127" spans="1:13" x14ac:dyDescent="0.2">
      <c r="A127" s="10">
        <v>42944</v>
      </c>
      <c r="C127">
        <v>28.63</v>
      </c>
      <c r="D127">
        <v>28.9</v>
      </c>
      <c r="E127">
        <v>28.51</v>
      </c>
      <c r="F127">
        <v>28.82</v>
      </c>
      <c r="G127">
        <v>6016328</v>
      </c>
      <c r="H127">
        <v>172943568</v>
      </c>
      <c r="I127" s="13">
        <f t="shared" ref="I127:I128" si="16">SUM(F122:F126)/5</f>
        <v>29.036000000000001</v>
      </c>
      <c r="J127" s="13">
        <f t="shared" ref="J127:J128" si="17">SUM(F117:F126)/10</f>
        <v>29.113</v>
      </c>
      <c r="K127" s="13">
        <f t="shared" ref="K127:K128" si="18">SUM(F107:F126)/20</f>
        <v>29.674500000000002</v>
      </c>
      <c r="L127" s="13">
        <f t="shared" ref="L127:L128" si="19">SUM(F67:F126)/60</f>
        <v>30.802166666666665</v>
      </c>
    </row>
    <row r="128" spans="1:13" x14ac:dyDescent="0.2">
      <c r="A128" s="10">
        <v>42947</v>
      </c>
      <c r="C128">
        <v>28.9</v>
      </c>
      <c r="D128">
        <v>29.44</v>
      </c>
      <c r="E128">
        <v>28.68</v>
      </c>
      <c r="F128">
        <v>29.15</v>
      </c>
      <c r="G128">
        <v>13228301</v>
      </c>
      <c r="H128">
        <v>385926432</v>
      </c>
      <c r="I128" s="13">
        <f t="shared" si="16"/>
        <v>29.077999999999996</v>
      </c>
      <c r="J128" s="13">
        <f t="shared" si="17"/>
        <v>28.996999999999996</v>
      </c>
      <c r="K128" s="13">
        <f t="shared" si="18"/>
        <v>29.566000000000003</v>
      </c>
      <c r="L128" s="13">
        <f t="shared" si="19"/>
        <v>30.787666666666663</v>
      </c>
      <c r="M128" t="s">
        <v>31</v>
      </c>
    </row>
    <row r="129" spans="1:13" x14ac:dyDescent="0.2">
      <c r="A129" s="10">
        <v>42948</v>
      </c>
      <c r="C129">
        <v>29.15</v>
      </c>
      <c r="D129">
        <v>29.22</v>
      </c>
      <c r="E129">
        <v>28.7</v>
      </c>
      <c r="F129">
        <v>28.82</v>
      </c>
      <c r="G129">
        <v>9009673</v>
      </c>
      <c r="H129">
        <v>259823584</v>
      </c>
      <c r="I129" s="13">
        <f>SUM(F124:F128)/5</f>
        <v>29.078000000000003</v>
      </c>
      <c r="J129" s="13">
        <f>SUM(F119:F128)/10</f>
        <v>28.920999999999999</v>
      </c>
      <c r="K129" s="13">
        <f>SUM(F109:F128)/20</f>
        <v>29.458499999999997</v>
      </c>
      <c r="L129" s="13">
        <f>SUM(F69:F128)/60</f>
        <v>30.784666666666663</v>
      </c>
      <c r="M129" t="s">
        <v>29</v>
      </c>
    </row>
    <row r="130" spans="1:13" x14ac:dyDescent="0.2">
      <c r="A130" s="10">
        <v>42949</v>
      </c>
      <c r="C130">
        <v>28.88</v>
      </c>
      <c r="D130">
        <v>29.18</v>
      </c>
      <c r="E130">
        <v>28.6</v>
      </c>
      <c r="F130">
        <v>28.69</v>
      </c>
      <c r="G130">
        <v>8524114</v>
      </c>
      <c r="H130">
        <v>245579552</v>
      </c>
      <c r="I130" s="13">
        <f t="shared" ref="I130:I146" si="20">SUM(F125:F129)/5</f>
        <v>28.925999999999998</v>
      </c>
      <c r="J130" s="13">
        <f t="shared" ref="J130:J146" si="21">SUM(F120:F129)/10</f>
        <v>28.931999999999999</v>
      </c>
      <c r="K130" s="13">
        <f t="shared" ref="K130:K146" si="22">SUM(F110:F129)/20</f>
        <v>29.336500000000001</v>
      </c>
      <c r="L130" s="13">
        <f t="shared" ref="L130:L146" si="23">SUM(F70:F129)/60</f>
        <v>30.766333333333328</v>
      </c>
      <c r="M130" t="s">
        <v>30</v>
      </c>
    </row>
    <row r="131" spans="1:13" x14ac:dyDescent="0.2">
      <c r="A131" s="10">
        <v>42950</v>
      </c>
      <c r="C131">
        <v>28.61</v>
      </c>
      <c r="D131">
        <v>28.7</v>
      </c>
      <c r="E131">
        <v>28.25</v>
      </c>
      <c r="F131">
        <v>28.31</v>
      </c>
      <c r="G131">
        <v>9706690</v>
      </c>
      <c r="H131">
        <v>275819296</v>
      </c>
      <c r="I131" s="13">
        <f t="shared" si="20"/>
        <v>28.851999999999997</v>
      </c>
      <c r="J131" s="13">
        <f t="shared" si="21"/>
        <v>28.919</v>
      </c>
      <c r="K131" s="13">
        <f t="shared" si="22"/>
        <v>29.204000000000001</v>
      </c>
      <c r="L131" s="13">
        <f t="shared" si="23"/>
        <v>30.744166666666665</v>
      </c>
      <c r="M131" t="s">
        <v>32</v>
      </c>
    </row>
    <row r="132" spans="1:13" x14ac:dyDescent="0.2">
      <c r="A132" s="10">
        <v>42951</v>
      </c>
      <c r="C132">
        <v>28.27</v>
      </c>
      <c r="D132">
        <v>28.53</v>
      </c>
      <c r="E132">
        <v>28.17</v>
      </c>
      <c r="F132">
        <v>28.4</v>
      </c>
      <c r="G132">
        <v>7282908</v>
      </c>
      <c r="H132">
        <v>206343472</v>
      </c>
      <c r="I132" s="13">
        <f t="shared" si="20"/>
        <v>28.757999999999999</v>
      </c>
      <c r="J132" s="13">
        <f t="shared" si="21"/>
        <v>28.897000000000002</v>
      </c>
      <c r="K132" s="13">
        <f t="shared" si="22"/>
        <v>29.109999999999996</v>
      </c>
      <c r="L132" s="13">
        <f t="shared" si="23"/>
        <v>30.727499999999988</v>
      </c>
      <c r="M132" s="3" t="s">
        <v>11</v>
      </c>
    </row>
    <row r="133" spans="1:13" x14ac:dyDescent="0.2">
      <c r="A133" s="10">
        <v>42954</v>
      </c>
      <c r="C133">
        <v>28.41</v>
      </c>
      <c r="D133">
        <v>28.65</v>
      </c>
      <c r="E133">
        <v>28.15</v>
      </c>
      <c r="F133">
        <v>28.58</v>
      </c>
      <c r="G133">
        <v>6597039</v>
      </c>
      <c r="H133">
        <v>187386880</v>
      </c>
      <c r="I133" s="13">
        <f t="shared" si="20"/>
        <v>28.673999999999999</v>
      </c>
      <c r="J133" s="13">
        <f t="shared" si="21"/>
        <v>28.875999999999994</v>
      </c>
      <c r="K133" s="13">
        <f t="shared" si="22"/>
        <v>29.035999999999994</v>
      </c>
      <c r="L133" s="13">
        <f t="shared" si="23"/>
        <v>30.701166666666662</v>
      </c>
      <c r="M133" s="3" t="s">
        <v>11</v>
      </c>
    </row>
    <row r="134" spans="1:13" x14ac:dyDescent="0.2">
      <c r="A134" s="10">
        <v>42955</v>
      </c>
      <c r="C134">
        <v>28.5</v>
      </c>
      <c r="D134">
        <v>29.1</v>
      </c>
      <c r="E134">
        <v>28.43</v>
      </c>
      <c r="F134">
        <v>28.99</v>
      </c>
      <c r="G134">
        <v>8873359</v>
      </c>
      <c r="H134">
        <v>255931136</v>
      </c>
      <c r="I134" s="13">
        <f t="shared" si="20"/>
        <v>28.560000000000002</v>
      </c>
      <c r="J134" s="13">
        <f t="shared" si="21"/>
        <v>28.818999999999999</v>
      </c>
      <c r="K134" s="13">
        <f t="shared" si="22"/>
        <v>29.016999999999996</v>
      </c>
      <c r="L134" s="13">
        <f t="shared" si="23"/>
        <v>30.674833333333321</v>
      </c>
      <c r="M134" s="3" t="s">
        <v>11</v>
      </c>
    </row>
    <row r="135" spans="1:13" x14ac:dyDescent="0.2">
      <c r="A135" s="10">
        <v>42956</v>
      </c>
      <c r="C135">
        <v>28.88</v>
      </c>
      <c r="D135">
        <v>29.87</v>
      </c>
      <c r="E135">
        <v>28.65</v>
      </c>
      <c r="F135">
        <v>29.69</v>
      </c>
      <c r="G135">
        <v>16155949</v>
      </c>
      <c r="H135">
        <v>475476704</v>
      </c>
      <c r="I135" s="13">
        <f t="shared" si="20"/>
        <v>28.594000000000001</v>
      </c>
      <c r="J135" s="13">
        <f t="shared" si="21"/>
        <v>28.76</v>
      </c>
      <c r="K135" s="13">
        <f t="shared" si="22"/>
        <v>28.991999999999997</v>
      </c>
      <c r="L135" s="13">
        <f t="shared" si="23"/>
        <v>30.638333333333325</v>
      </c>
      <c r="M135" s="3" t="s">
        <v>33</v>
      </c>
    </row>
    <row r="136" spans="1:13" x14ac:dyDescent="0.2">
      <c r="A136" s="10">
        <v>42957</v>
      </c>
      <c r="C136">
        <v>29.68</v>
      </c>
      <c r="D136">
        <v>29.86</v>
      </c>
      <c r="E136">
        <v>29.25</v>
      </c>
      <c r="F136">
        <v>29.51</v>
      </c>
      <c r="G136">
        <v>8605096</v>
      </c>
      <c r="H136">
        <v>253918320</v>
      </c>
      <c r="I136" s="13">
        <f t="shared" si="20"/>
        <v>28.794</v>
      </c>
      <c r="J136" s="13">
        <f t="shared" si="21"/>
        <v>28.823</v>
      </c>
      <c r="K136" s="13">
        <f t="shared" si="22"/>
        <v>29.014500000000005</v>
      </c>
      <c r="L136" s="13">
        <f t="shared" si="23"/>
        <v>30.608999999999995</v>
      </c>
      <c r="M136" s="3" t="s">
        <v>11</v>
      </c>
    </row>
    <row r="137" spans="1:13" x14ac:dyDescent="0.2">
      <c r="A137" s="10">
        <v>42958</v>
      </c>
      <c r="C137">
        <v>29.29</v>
      </c>
      <c r="D137">
        <v>29.51</v>
      </c>
      <c r="E137">
        <v>28.96</v>
      </c>
      <c r="F137">
        <v>28.99</v>
      </c>
      <c r="G137">
        <v>8539582</v>
      </c>
      <c r="H137">
        <v>249724256</v>
      </c>
      <c r="I137" s="13">
        <f t="shared" si="20"/>
        <v>29.033999999999999</v>
      </c>
      <c r="J137" s="13">
        <f t="shared" si="21"/>
        <v>28.895999999999997</v>
      </c>
      <c r="K137" s="13">
        <f t="shared" si="22"/>
        <v>29.004499999999997</v>
      </c>
      <c r="L137" s="13">
        <f t="shared" si="23"/>
        <v>30.569833333333332</v>
      </c>
      <c r="M137" s="3" t="s">
        <v>11</v>
      </c>
    </row>
    <row r="138" spans="1:13" x14ac:dyDescent="0.2">
      <c r="A138" s="10">
        <v>42961</v>
      </c>
      <c r="C138">
        <v>29</v>
      </c>
      <c r="D138">
        <v>30.1</v>
      </c>
      <c r="E138">
        <v>29</v>
      </c>
      <c r="F138">
        <v>29.57</v>
      </c>
      <c r="G138">
        <v>11744186</v>
      </c>
      <c r="H138">
        <v>348187360</v>
      </c>
      <c r="I138" s="13">
        <f t="shared" si="20"/>
        <v>29.151999999999997</v>
      </c>
      <c r="J138" s="13">
        <f t="shared" si="21"/>
        <v>28.913</v>
      </c>
      <c r="K138" s="13">
        <f t="shared" si="22"/>
        <v>28.954999999999995</v>
      </c>
      <c r="L138" s="13">
        <f t="shared" si="23"/>
        <v>30.547499999999996</v>
      </c>
      <c r="M138" s="3" t="s">
        <v>34</v>
      </c>
    </row>
    <row r="139" spans="1:13" x14ac:dyDescent="0.2">
      <c r="A139" s="10">
        <v>42962</v>
      </c>
      <c r="C139">
        <v>29.59</v>
      </c>
      <c r="D139">
        <v>29.76</v>
      </c>
      <c r="E139">
        <v>29.4</v>
      </c>
      <c r="F139">
        <v>29.6</v>
      </c>
      <c r="G139">
        <v>4229781</v>
      </c>
      <c r="H139">
        <v>124984320</v>
      </c>
      <c r="I139" s="13">
        <f t="shared" si="20"/>
        <v>29.35</v>
      </c>
      <c r="J139" s="13">
        <f t="shared" si="21"/>
        <v>28.955000000000002</v>
      </c>
      <c r="K139" s="13">
        <f t="shared" si="22"/>
        <v>28.937999999999999</v>
      </c>
      <c r="L139" s="13">
        <f t="shared" si="23"/>
        <v>30.532666666666664</v>
      </c>
      <c r="M139" s="3" t="s">
        <v>11</v>
      </c>
    </row>
    <row r="140" spans="1:13" x14ac:dyDescent="0.2">
      <c r="A140" s="10">
        <v>42963</v>
      </c>
      <c r="C140">
        <v>29.65</v>
      </c>
      <c r="D140">
        <v>29.88</v>
      </c>
      <c r="E140">
        <v>29.41</v>
      </c>
      <c r="F140">
        <v>29.67</v>
      </c>
      <c r="G140">
        <v>4891060</v>
      </c>
      <c r="H140">
        <v>144881904</v>
      </c>
      <c r="I140" s="13">
        <f t="shared" si="20"/>
        <v>29.471999999999998</v>
      </c>
      <c r="J140" s="13">
        <f t="shared" si="21"/>
        <v>29.033000000000005</v>
      </c>
      <c r="K140" s="13">
        <f t="shared" si="22"/>
        <v>28.982499999999998</v>
      </c>
      <c r="L140" s="13">
        <f t="shared" si="23"/>
        <v>30.514833333333328</v>
      </c>
      <c r="M140" s="3" t="s">
        <v>11</v>
      </c>
    </row>
    <row r="141" spans="1:13" x14ac:dyDescent="0.2">
      <c r="A141" s="10">
        <v>42964</v>
      </c>
      <c r="C141">
        <v>29.66</v>
      </c>
      <c r="D141">
        <v>29.89</v>
      </c>
      <c r="E141">
        <v>29.45</v>
      </c>
      <c r="F141">
        <v>29.58</v>
      </c>
      <c r="G141">
        <v>4959048</v>
      </c>
      <c r="H141">
        <v>147049600</v>
      </c>
      <c r="I141" s="13">
        <f t="shared" si="20"/>
        <v>29.467999999999996</v>
      </c>
      <c r="J141" s="13">
        <f t="shared" si="21"/>
        <v>29.131</v>
      </c>
      <c r="K141" s="13">
        <f t="shared" si="22"/>
        <v>29.024999999999999</v>
      </c>
      <c r="L141" s="13">
        <f t="shared" si="23"/>
        <v>30.49166666666666</v>
      </c>
      <c r="M141" s="3" t="s">
        <v>11</v>
      </c>
    </row>
    <row r="142" spans="1:13" x14ac:dyDescent="0.2">
      <c r="A142" s="10">
        <v>42965</v>
      </c>
      <c r="C142">
        <v>29.49</v>
      </c>
      <c r="D142">
        <v>30.06</v>
      </c>
      <c r="E142">
        <v>29.25</v>
      </c>
      <c r="F142">
        <v>30.02</v>
      </c>
      <c r="G142">
        <v>9218805</v>
      </c>
      <c r="H142">
        <v>275065984</v>
      </c>
      <c r="I142" s="13">
        <f t="shared" si="20"/>
        <v>29.481999999999999</v>
      </c>
      <c r="J142" s="13">
        <f t="shared" si="21"/>
        <v>29.257999999999999</v>
      </c>
      <c r="K142" s="13">
        <f t="shared" si="22"/>
        <v>29.077499999999997</v>
      </c>
      <c r="L142" s="13">
        <f t="shared" si="23"/>
        <v>30.459666666666656</v>
      </c>
      <c r="M142" s="3" t="s">
        <v>11</v>
      </c>
    </row>
    <row r="143" spans="1:13" x14ac:dyDescent="0.2">
      <c r="A143" s="10">
        <v>42968</v>
      </c>
      <c r="C143">
        <v>29.93</v>
      </c>
      <c r="D143">
        <v>30.38</v>
      </c>
      <c r="E143">
        <v>29.78</v>
      </c>
      <c r="F143">
        <v>30.29</v>
      </c>
      <c r="G143">
        <v>8869091</v>
      </c>
      <c r="H143">
        <v>267957520</v>
      </c>
      <c r="I143" s="13">
        <f t="shared" si="20"/>
        <v>29.687999999999999</v>
      </c>
      <c r="J143" s="13">
        <f t="shared" si="21"/>
        <v>29.419999999999995</v>
      </c>
      <c r="K143" s="13">
        <f t="shared" si="22"/>
        <v>29.147999999999996</v>
      </c>
      <c r="L143" s="13">
        <f t="shared" si="23"/>
        <v>30.432333333333325</v>
      </c>
      <c r="M143" s="3" t="s">
        <v>11</v>
      </c>
    </row>
    <row r="144" spans="1:13" x14ac:dyDescent="0.2">
      <c r="A144" s="10">
        <v>42969</v>
      </c>
      <c r="C144">
        <v>30.18</v>
      </c>
      <c r="D144">
        <v>30.85</v>
      </c>
      <c r="E144">
        <v>29.94</v>
      </c>
      <c r="F144">
        <v>30.76</v>
      </c>
      <c r="G144">
        <v>9496564</v>
      </c>
      <c r="H144">
        <v>290218464</v>
      </c>
      <c r="I144" s="13">
        <f t="shared" si="20"/>
        <v>29.832000000000001</v>
      </c>
      <c r="J144" s="13">
        <f t="shared" si="21"/>
        <v>29.590999999999998</v>
      </c>
      <c r="K144" s="13">
        <f t="shared" si="22"/>
        <v>29.205000000000002</v>
      </c>
      <c r="L144" s="13">
        <f t="shared" si="23"/>
        <v>30.415499999999994</v>
      </c>
      <c r="M144" s="3" t="s">
        <v>11</v>
      </c>
    </row>
    <row r="145" spans="1:13" x14ac:dyDescent="0.2">
      <c r="A145" s="10">
        <v>42970</v>
      </c>
      <c r="C145">
        <v>30.65</v>
      </c>
      <c r="D145">
        <v>30.95</v>
      </c>
      <c r="E145">
        <v>30.5</v>
      </c>
      <c r="F145">
        <v>30.87</v>
      </c>
      <c r="G145">
        <v>7847484</v>
      </c>
      <c r="H145">
        <v>241457456</v>
      </c>
      <c r="I145" s="13">
        <f t="shared" si="20"/>
        <v>30.064</v>
      </c>
      <c r="J145" s="13">
        <f t="shared" si="21"/>
        <v>29.767999999999994</v>
      </c>
      <c r="K145" s="13">
        <f t="shared" si="22"/>
        <v>29.263999999999999</v>
      </c>
      <c r="L145" s="13">
        <f t="shared" si="23"/>
        <v>30.410999999999991</v>
      </c>
      <c r="M145" s="3" t="s">
        <v>11</v>
      </c>
    </row>
    <row r="146" spans="1:13" x14ac:dyDescent="0.2">
      <c r="A146" s="10">
        <v>42971</v>
      </c>
      <c r="C146">
        <v>30.92</v>
      </c>
      <c r="D146">
        <v>30.93</v>
      </c>
      <c r="E146">
        <v>30.04</v>
      </c>
      <c r="F146">
        <v>30.22</v>
      </c>
      <c r="G146">
        <v>5780330</v>
      </c>
      <c r="H146">
        <v>175625104</v>
      </c>
      <c r="I146" s="13">
        <f t="shared" si="20"/>
        <v>30.303999999999995</v>
      </c>
      <c r="J146" s="13">
        <f t="shared" si="21"/>
        <v>29.885999999999996</v>
      </c>
      <c r="K146" s="13">
        <f t="shared" si="22"/>
        <v>29.354500000000002</v>
      </c>
      <c r="L146" s="13">
        <f t="shared" si="23"/>
        <v>30.39749999999999</v>
      </c>
      <c r="M146" s="3" t="s">
        <v>11</v>
      </c>
    </row>
    <row r="147" spans="1:13" x14ac:dyDescent="0.2">
      <c r="A147" s="10">
        <v>42972</v>
      </c>
      <c r="C147">
        <v>30.19</v>
      </c>
      <c r="D147">
        <v>30.46</v>
      </c>
      <c r="E147">
        <v>29.95</v>
      </c>
      <c r="F147">
        <v>30.14</v>
      </c>
      <c r="G147">
        <v>6317924</v>
      </c>
      <c r="H147">
        <v>190295840</v>
      </c>
      <c r="I147" s="13">
        <f>SUM(F142:F146)/5</f>
        <v>30.432000000000006</v>
      </c>
      <c r="J147" s="13">
        <f>SUM(F137:F146)/10</f>
        <v>29.956999999999994</v>
      </c>
      <c r="K147" s="13">
        <f>SUM(F127:F146)/20</f>
        <v>29.426500000000004</v>
      </c>
      <c r="L147" s="13">
        <f>SUM(F87:F146)/60</f>
        <v>30.364833333333323</v>
      </c>
      <c r="M147" s="3" t="s">
        <v>11</v>
      </c>
    </row>
    <row r="148" spans="1:13" x14ac:dyDescent="0.2">
      <c r="A148" s="10">
        <v>42975</v>
      </c>
      <c r="C148">
        <v>30.16</v>
      </c>
      <c r="D148">
        <v>30.3</v>
      </c>
      <c r="E148">
        <v>29.17</v>
      </c>
      <c r="F148">
        <v>29.51</v>
      </c>
      <c r="G148">
        <v>20124060</v>
      </c>
      <c r="H148">
        <v>596672256</v>
      </c>
      <c r="I148" s="13">
        <f t="shared" ref="I148:I165" si="24">SUM(F143:F147)/5</f>
        <v>30.456</v>
      </c>
      <c r="J148" s="13">
        <f t="shared" ref="J148:J165" si="25">SUM(F138:F147)/10</f>
        <v>30.071999999999996</v>
      </c>
      <c r="K148" s="13">
        <f t="shared" ref="K148:K165" si="26">SUM(F128:F147)/20</f>
        <v>29.4925</v>
      </c>
      <c r="L148" s="13">
        <f t="shared" ref="L148:L165" si="27">SUM(F88:F147)/60</f>
        <v>30.335666666666665</v>
      </c>
      <c r="M148" s="3" t="s">
        <v>11</v>
      </c>
    </row>
    <row r="149" spans="1:13" x14ac:dyDescent="0.2">
      <c r="A149" s="10">
        <v>42976</v>
      </c>
      <c r="C149">
        <v>29.65</v>
      </c>
      <c r="D149">
        <v>30.17</v>
      </c>
      <c r="E149">
        <v>29.58</v>
      </c>
      <c r="F149">
        <v>30.14</v>
      </c>
      <c r="G149">
        <v>11929656</v>
      </c>
      <c r="H149">
        <v>356343520</v>
      </c>
      <c r="I149" s="13">
        <f t="shared" si="24"/>
        <v>30.3</v>
      </c>
      <c r="J149" s="13">
        <f t="shared" si="25"/>
        <v>30.065999999999995</v>
      </c>
      <c r="K149" s="13">
        <f t="shared" si="26"/>
        <v>29.5105</v>
      </c>
      <c r="L149" s="13">
        <f t="shared" si="27"/>
        <v>30.303333333333331</v>
      </c>
      <c r="M149" t="s">
        <v>35</v>
      </c>
    </row>
    <row r="150" spans="1:13" x14ac:dyDescent="0.2">
      <c r="A150" s="10">
        <v>42977</v>
      </c>
      <c r="C150">
        <v>29.63</v>
      </c>
      <c r="D150">
        <v>29.78</v>
      </c>
      <c r="E150">
        <v>29.17</v>
      </c>
      <c r="F150">
        <v>29.39</v>
      </c>
      <c r="G150">
        <v>15816517</v>
      </c>
      <c r="H150">
        <v>465686496</v>
      </c>
      <c r="I150" s="13">
        <f t="shared" si="24"/>
        <v>30.175999999999998</v>
      </c>
      <c r="J150" s="13">
        <f t="shared" si="25"/>
        <v>30.119999999999997</v>
      </c>
      <c r="K150" s="13">
        <f t="shared" si="26"/>
        <v>29.576499999999999</v>
      </c>
      <c r="L150" s="13">
        <f t="shared" si="27"/>
        <v>30.272666666666669</v>
      </c>
      <c r="M150" s="3" t="s">
        <v>11</v>
      </c>
    </row>
    <row r="151" spans="1:13" x14ac:dyDescent="0.2">
      <c r="A151" s="10">
        <v>42978</v>
      </c>
      <c r="C151">
        <v>29.6</v>
      </c>
      <c r="D151">
        <v>30.09</v>
      </c>
      <c r="E151">
        <v>28.73</v>
      </c>
      <c r="F151">
        <v>29.26</v>
      </c>
      <c r="G151">
        <v>20218411</v>
      </c>
      <c r="H151">
        <v>592341312</v>
      </c>
      <c r="I151" s="13">
        <f t="shared" si="24"/>
        <v>29.880000000000003</v>
      </c>
      <c r="J151" s="13">
        <f t="shared" si="25"/>
        <v>30.091999999999995</v>
      </c>
      <c r="K151" s="13">
        <f t="shared" si="26"/>
        <v>29.611499999999996</v>
      </c>
      <c r="L151" s="13">
        <f t="shared" si="27"/>
        <v>30.218833333333336</v>
      </c>
      <c r="M151" t="s">
        <v>36</v>
      </c>
    </row>
    <row r="152" spans="1:13" x14ac:dyDescent="0.2">
      <c r="A152" s="10">
        <v>42979</v>
      </c>
      <c r="C152">
        <v>29.4</v>
      </c>
      <c r="D152">
        <v>29.56</v>
      </c>
      <c r="E152">
        <v>29.1</v>
      </c>
      <c r="F152">
        <v>29.41</v>
      </c>
      <c r="G152">
        <v>15439644</v>
      </c>
      <c r="H152">
        <v>452878080</v>
      </c>
      <c r="I152" s="13">
        <f t="shared" si="24"/>
        <v>29.687999999999999</v>
      </c>
      <c r="J152" s="13">
        <f t="shared" si="25"/>
        <v>30.059999999999995</v>
      </c>
      <c r="K152" s="13">
        <f t="shared" si="26"/>
        <v>29.658999999999999</v>
      </c>
      <c r="L152" s="13">
        <f t="shared" si="27"/>
        <v>30.151666666666674</v>
      </c>
      <c r="M152" s="3" t="s">
        <v>11</v>
      </c>
    </row>
    <row r="153" spans="1:13" x14ac:dyDescent="0.2">
      <c r="A153" s="10">
        <v>42982</v>
      </c>
      <c r="C153">
        <v>29.44</v>
      </c>
      <c r="D153">
        <v>29.5</v>
      </c>
      <c r="E153">
        <v>28.9</v>
      </c>
      <c r="F153">
        <v>29.25</v>
      </c>
      <c r="G153">
        <v>15006106</v>
      </c>
      <c r="H153">
        <v>437318400</v>
      </c>
      <c r="I153" s="13">
        <f t="shared" si="24"/>
        <v>29.542000000000002</v>
      </c>
      <c r="J153" s="13">
        <f t="shared" si="25"/>
        <v>29.999000000000002</v>
      </c>
      <c r="K153" s="13">
        <f t="shared" si="26"/>
        <v>29.709499999999991</v>
      </c>
      <c r="L153" s="13">
        <f t="shared" si="27"/>
        <v>30.090833333333343</v>
      </c>
      <c r="M153" t="s">
        <v>37</v>
      </c>
    </row>
    <row r="154" spans="1:13" x14ac:dyDescent="0.2">
      <c r="A154" s="10">
        <v>42983</v>
      </c>
      <c r="C154">
        <v>29.22</v>
      </c>
      <c r="D154">
        <v>29.75</v>
      </c>
      <c r="E154">
        <v>29.14</v>
      </c>
      <c r="F154">
        <v>29.66</v>
      </c>
      <c r="G154">
        <v>12384805</v>
      </c>
      <c r="H154">
        <v>364317984</v>
      </c>
      <c r="I154" s="13">
        <f t="shared" si="24"/>
        <v>29.49</v>
      </c>
      <c r="J154" s="13">
        <f t="shared" si="25"/>
        <v>29.895</v>
      </c>
      <c r="K154" s="13">
        <f t="shared" si="26"/>
        <v>29.742999999999995</v>
      </c>
      <c r="L154" s="13">
        <f t="shared" si="27"/>
        <v>30.026000000000007</v>
      </c>
      <c r="M154" s="3" t="s">
        <v>11</v>
      </c>
    </row>
    <row r="155" spans="1:13" x14ac:dyDescent="0.2">
      <c r="A155" s="10">
        <v>42984</v>
      </c>
      <c r="C155">
        <v>29.65</v>
      </c>
      <c r="D155">
        <v>29.87</v>
      </c>
      <c r="E155">
        <v>29.5</v>
      </c>
      <c r="F155">
        <v>29.66</v>
      </c>
      <c r="G155">
        <v>13178736</v>
      </c>
      <c r="H155">
        <v>391491168</v>
      </c>
      <c r="I155" s="13">
        <f t="shared" si="24"/>
        <v>29.393999999999998</v>
      </c>
      <c r="J155" s="13">
        <f t="shared" si="25"/>
        <v>29.784999999999997</v>
      </c>
      <c r="K155" s="13">
        <f t="shared" si="26"/>
        <v>29.776499999999992</v>
      </c>
      <c r="L155" s="13">
        <f t="shared" si="27"/>
        <v>29.963666666666672</v>
      </c>
      <c r="M155" s="3" t="s">
        <v>11</v>
      </c>
    </row>
    <row r="156" spans="1:13" x14ac:dyDescent="0.2">
      <c r="A156" s="10">
        <v>42985</v>
      </c>
      <c r="C156">
        <v>29.66</v>
      </c>
      <c r="D156">
        <v>30.67</v>
      </c>
      <c r="E156">
        <v>29.66</v>
      </c>
      <c r="F156">
        <v>30.37</v>
      </c>
      <c r="G156">
        <v>18667836</v>
      </c>
      <c r="H156">
        <v>565325952</v>
      </c>
      <c r="I156" s="13">
        <f t="shared" si="24"/>
        <v>29.448</v>
      </c>
      <c r="J156" s="13">
        <f t="shared" si="25"/>
        <v>29.664000000000005</v>
      </c>
      <c r="K156" s="13">
        <f t="shared" si="26"/>
        <v>29.774999999999988</v>
      </c>
      <c r="L156" s="13">
        <f t="shared" si="27"/>
        <v>29.917833333333341</v>
      </c>
      <c r="M156" s="3" t="s">
        <v>11</v>
      </c>
    </row>
    <row r="157" spans="1:13" x14ac:dyDescent="0.2">
      <c r="A157" s="10">
        <v>42986</v>
      </c>
      <c r="C157">
        <v>30.38</v>
      </c>
      <c r="D157">
        <v>30.79</v>
      </c>
      <c r="E157">
        <v>30.01</v>
      </c>
      <c r="F157">
        <v>30.42</v>
      </c>
      <c r="G157">
        <v>8960208</v>
      </c>
      <c r="H157">
        <v>272457440</v>
      </c>
      <c r="I157" s="13">
        <f t="shared" si="24"/>
        <v>29.669999999999998</v>
      </c>
      <c r="J157" s="13">
        <f t="shared" si="25"/>
        <v>29.679000000000002</v>
      </c>
      <c r="K157" s="13">
        <f t="shared" si="26"/>
        <v>29.817999999999994</v>
      </c>
      <c r="L157" s="13">
        <f t="shared" si="27"/>
        <v>29.889833333333339</v>
      </c>
      <c r="M157" s="3" t="s">
        <v>12</v>
      </c>
    </row>
    <row r="158" spans="1:13" x14ac:dyDescent="0.2">
      <c r="A158" s="10">
        <v>42989</v>
      </c>
      <c r="C158">
        <v>30.42</v>
      </c>
      <c r="D158">
        <v>30.53</v>
      </c>
      <c r="E158">
        <v>29.33</v>
      </c>
      <c r="F158">
        <v>29.5</v>
      </c>
      <c r="G158">
        <v>21097405</v>
      </c>
      <c r="H158">
        <v>627391232</v>
      </c>
      <c r="I158" s="13">
        <f t="shared" si="24"/>
        <v>29.872000000000003</v>
      </c>
      <c r="J158" s="13">
        <f t="shared" si="25"/>
        <v>29.707000000000001</v>
      </c>
      <c r="K158" s="13">
        <f t="shared" si="26"/>
        <v>29.889499999999998</v>
      </c>
      <c r="L158" s="13">
        <f t="shared" si="27"/>
        <v>29.863166666666668</v>
      </c>
      <c r="M158" s="3" t="s">
        <v>41</v>
      </c>
    </row>
    <row r="159" spans="1:13" x14ac:dyDescent="0.2">
      <c r="A159" s="10">
        <v>42990</v>
      </c>
      <c r="C159">
        <v>29.52</v>
      </c>
      <c r="D159">
        <v>29.52</v>
      </c>
      <c r="E159">
        <v>29.01</v>
      </c>
      <c r="F159">
        <v>29.24</v>
      </c>
      <c r="G159">
        <v>13255903</v>
      </c>
      <c r="H159">
        <v>387288096</v>
      </c>
      <c r="I159" s="13">
        <f t="shared" si="24"/>
        <v>29.922000000000004</v>
      </c>
      <c r="J159" s="13">
        <f t="shared" si="25"/>
        <v>29.706</v>
      </c>
      <c r="K159" s="13">
        <f t="shared" si="26"/>
        <v>29.885999999999996</v>
      </c>
      <c r="L159" s="13">
        <f t="shared" si="27"/>
        <v>29.818500000000007</v>
      </c>
      <c r="M159" s="3" t="s">
        <v>11</v>
      </c>
    </row>
    <row r="160" spans="1:13" x14ac:dyDescent="0.2">
      <c r="A160" s="10">
        <v>42991</v>
      </c>
      <c r="C160">
        <v>29.37</v>
      </c>
      <c r="D160">
        <v>29.38</v>
      </c>
      <c r="E160">
        <v>29.15</v>
      </c>
      <c r="F160">
        <v>29.21</v>
      </c>
      <c r="G160">
        <v>5044288</v>
      </c>
      <c r="H160">
        <v>147617472</v>
      </c>
      <c r="I160" s="13">
        <f t="shared" si="24"/>
        <v>29.838000000000001</v>
      </c>
      <c r="J160" s="13">
        <f t="shared" si="25"/>
        <v>29.616000000000003</v>
      </c>
      <c r="K160" s="13">
        <f t="shared" si="26"/>
        <v>29.868000000000002</v>
      </c>
      <c r="L160" s="13">
        <f t="shared" si="27"/>
        <v>29.77416666666667</v>
      </c>
      <c r="M160" s="3" t="s">
        <v>11</v>
      </c>
    </row>
    <row r="161" spans="1:13" x14ac:dyDescent="0.2">
      <c r="A161" s="10">
        <v>42992</v>
      </c>
      <c r="C161">
        <v>29.22</v>
      </c>
      <c r="D161">
        <v>30.08</v>
      </c>
      <c r="E161">
        <v>29.22</v>
      </c>
      <c r="F161">
        <v>29.81</v>
      </c>
      <c r="G161">
        <v>16082036</v>
      </c>
      <c r="H161">
        <v>478503232</v>
      </c>
      <c r="I161" s="13">
        <f t="shared" si="24"/>
        <v>29.748000000000001</v>
      </c>
      <c r="J161" s="13">
        <f t="shared" si="25"/>
        <v>29.598000000000003</v>
      </c>
      <c r="K161" s="13">
        <f t="shared" si="26"/>
        <v>29.845000000000006</v>
      </c>
      <c r="L161" s="13">
        <f t="shared" si="27"/>
        <v>29.714333333333339</v>
      </c>
      <c r="M161" s="3" t="s">
        <v>11</v>
      </c>
    </row>
    <row r="162" spans="1:13" x14ac:dyDescent="0.2">
      <c r="A162" s="10">
        <v>42993</v>
      </c>
      <c r="C162">
        <v>29.81</v>
      </c>
      <c r="D162">
        <v>31.25</v>
      </c>
      <c r="E162">
        <v>29.81</v>
      </c>
      <c r="F162">
        <v>30.98</v>
      </c>
      <c r="G162">
        <v>25923448</v>
      </c>
      <c r="H162">
        <v>794470528</v>
      </c>
      <c r="I162" s="13">
        <f t="shared" si="24"/>
        <v>29.636000000000003</v>
      </c>
      <c r="J162" s="13">
        <f t="shared" si="25"/>
        <v>29.652999999999999</v>
      </c>
      <c r="K162" s="13">
        <f t="shared" si="26"/>
        <v>29.8565</v>
      </c>
      <c r="L162" s="13">
        <f t="shared" si="27"/>
        <v>29.708333333333339</v>
      </c>
      <c r="M162" s="3" t="s">
        <v>11</v>
      </c>
    </row>
    <row r="163" spans="1:13" x14ac:dyDescent="0.2">
      <c r="A163" s="10">
        <v>42996</v>
      </c>
      <c r="C163">
        <v>31.3</v>
      </c>
      <c r="D163">
        <v>32.299999999999997</v>
      </c>
      <c r="E163">
        <v>31.15</v>
      </c>
      <c r="F163">
        <v>31.17</v>
      </c>
      <c r="G163">
        <v>28345202</v>
      </c>
      <c r="H163">
        <v>900045056</v>
      </c>
      <c r="I163" s="13">
        <f t="shared" si="24"/>
        <v>29.747999999999998</v>
      </c>
      <c r="J163" s="13">
        <f t="shared" si="25"/>
        <v>29.810000000000002</v>
      </c>
      <c r="K163" s="13">
        <f t="shared" si="26"/>
        <v>29.904500000000002</v>
      </c>
      <c r="L163" s="13">
        <f t="shared" si="27"/>
        <v>29.705000000000005</v>
      </c>
      <c r="M163" s="4" t="s">
        <v>39</v>
      </c>
    </row>
    <row r="164" spans="1:13" x14ac:dyDescent="0.2">
      <c r="A164" s="10">
        <v>42997</v>
      </c>
      <c r="C164">
        <v>31.66</v>
      </c>
      <c r="D164">
        <v>32.1</v>
      </c>
      <c r="E164">
        <v>31</v>
      </c>
      <c r="F164">
        <v>31.18</v>
      </c>
      <c r="G164">
        <v>14113687</v>
      </c>
      <c r="H164">
        <v>444670752</v>
      </c>
      <c r="I164" s="13">
        <f t="shared" si="24"/>
        <v>30.082000000000004</v>
      </c>
      <c r="J164" s="13">
        <f t="shared" si="25"/>
        <v>30.002000000000002</v>
      </c>
      <c r="K164" s="13">
        <f t="shared" si="26"/>
        <v>29.948500000000003</v>
      </c>
      <c r="L164" s="13">
        <f t="shared" si="27"/>
        <v>29.69850000000001</v>
      </c>
      <c r="M164" s="3" t="s">
        <v>11</v>
      </c>
    </row>
    <row r="165" spans="1:13" x14ac:dyDescent="0.2">
      <c r="A165" s="10">
        <v>42998</v>
      </c>
      <c r="C165">
        <v>31.42</v>
      </c>
      <c r="D165">
        <v>33.159999999999997</v>
      </c>
      <c r="E165">
        <v>31.37</v>
      </c>
      <c r="F165">
        <v>32.76</v>
      </c>
      <c r="G165">
        <v>27909788</v>
      </c>
      <c r="H165">
        <v>908019968</v>
      </c>
      <c r="I165" s="13">
        <f t="shared" si="24"/>
        <v>30.47</v>
      </c>
      <c r="J165" s="13">
        <f t="shared" si="25"/>
        <v>30.154000000000003</v>
      </c>
      <c r="K165" s="13">
        <f t="shared" si="26"/>
        <v>29.969499999999993</v>
      </c>
      <c r="L165" s="13">
        <f t="shared" si="27"/>
        <v>29.697333333333344</v>
      </c>
      <c r="M165" s="3" t="s">
        <v>11</v>
      </c>
    </row>
    <row r="166" spans="1:13" x14ac:dyDescent="0.2">
      <c r="A166" s="10">
        <v>42999</v>
      </c>
      <c r="C166">
        <v>32.799999999999997</v>
      </c>
      <c r="D166">
        <v>33.1</v>
      </c>
      <c r="E166">
        <v>32.21</v>
      </c>
      <c r="F166">
        <v>32.770000000000003</v>
      </c>
      <c r="G166">
        <v>16617629</v>
      </c>
      <c r="H166">
        <v>542716672</v>
      </c>
      <c r="I166" s="13">
        <f>SUM(F161:F165)/5</f>
        <v>31.18</v>
      </c>
      <c r="J166" s="13">
        <f>SUM(F156:F165)/10</f>
        <v>30.463999999999999</v>
      </c>
      <c r="K166" s="13">
        <f>SUM(F146:F165)/20</f>
        <v>30.064</v>
      </c>
      <c r="L166" s="13">
        <f>SUM(F106:F165)/60</f>
        <v>29.730000000000011</v>
      </c>
      <c r="M166" s="3" t="s">
        <v>40</v>
      </c>
    </row>
    <row r="167" spans="1:13" x14ac:dyDescent="0.2">
      <c r="A167" s="10">
        <v>43000</v>
      </c>
      <c r="C167">
        <v>32.76</v>
      </c>
      <c r="D167">
        <v>33.520000000000003</v>
      </c>
      <c r="E167">
        <v>32.479999999999997</v>
      </c>
      <c r="F167">
        <v>33.15</v>
      </c>
      <c r="G167">
        <v>18074516</v>
      </c>
      <c r="H167">
        <v>598806848</v>
      </c>
      <c r="I167" s="13">
        <f t="shared" ref="I167:I179" si="28">SUM(F162:F166)/5</f>
        <v>31.772000000000002</v>
      </c>
      <c r="J167" s="13">
        <f t="shared" ref="J167:J179" si="29">SUM(F157:F166)/10</f>
        <v>30.703999999999997</v>
      </c>
      <c r="K167" s="13">
        <f t="shared" ref="K167:K179" si="30">SUM(F147:F166)/20</f>
        <v>30.191500000000001</v>
      </c>
      <c r="L167" s="13">
        <f t="shared" ref="L167:L179" si="31">SUM(F107:F166)/60</f>
        <v>29.764166666666675</v>
      </c>
      <c r="M167" s="3" t="s">
        <v>11</v>
      </c>
    </row>
    <row r="168" spans="1:13" x14ac:dyDescent="0.2">
      <c r="A168" s="10">
        <v>43003</v>
      </c>
      <c r="C168">
        <v>33.18</v>
      </c>
      <c r="D168">
        <v>34.159999999999997</v>
      </c>
      <c r="E168">
        <v>32.909999999999997</v>
      </c>
      <c r="F168">
        <v>33.950000000000003</v>
      </c>
      <c r="G168">
        <v>15720379</v>
      </c>
      <c r="H168">
        <v>529751936</v>
      </c>
      <c r="I168" s="13">
        <f t="shared" si="28"/>
        <v>32.206000000000003</v>
      </c>
      <c r="J168" s="13">
        <f t="shared" si="29"/>
        <v>30.976999999999993</v>
      </c>
      <c r="K168" s="13">
        <f t="shared" si="30"/>
        <v>30.342000000000002</v>
      </c>
      <c r="L168" s="13">
        <f t="shared" si="31"/>
        <v>29.80016666666668</v>
      </c>
      <c r="M168" s="3" t="s">
        <v>11</v>
      </c>
    </row>
    <row r="169" spans="1:13" x14ac:dyDescent="0.2">
      <c r="A169" s="10">
        <v>43004</v>
      </c>
      <c r="C169">
        <v>33.79</v>
      </c>
      <c r="D169">
        <v>33.799999999999997</v>
      </c>
      <c r="E169">
        <v>32.770000000000003</v>
      </c>
      <c r="F169">
        <v>33.01</v>
      </c>
      <c r="G169">
        <v>12980880</v>
      </c>
      <c r="H169">
        <v>431828128</v>
      </c>
      <c r="I169" s="13">
        <f t="shared" si="28"/>
        <v>32.762</v>
      </c>
      <c r="J169" s="13">
        <f t="shared" si="29"/>
        <v>31.422000000000004</v>
      </c>
      <c r="K169" s="13">
        <f t="shared" si="30"/>
        <v>30.564000000000004</v>
      </c>
      <c r="L169" s="13">
        <f t="shared" si="31"/>
        <v>29.844333333333346</v>
      </c>
      <c r="M169" s="3" t="s">
        <v>11</v>
      </c>
    </row>
    <row r="170" spans="1:13" x14ac:dyDescent="0.2">
      <c r="A170" s="10">
        <v>43005</v>
      </c>
      <c r="C170">
        <v>33.1</v>
      </c>
      <c r="D170">
        <v>33.19</v>
      </c>
      <c r="E170">
        <v>32.770000000000003</v>
      </c>
      <c r="F170">
        <v>32.96</v>
      </c>
      <c r="G170">
        <v>9293291</v>
      </c>
      <c r="H170">
        <v>306355584</v>
      </c>
      <c r="I170" s="13">
        <f t="shared" si="28"/>
        <v>33.128</v>
      </c>
      <c r="J170" s="13">
        <f t="shared" si="29"/>
        <v>31.798999999999999</v>
      </c>
      <c r="K170" s="13">
        <f t="shared" si="30"/>
        <v>30.707500000000003</v>
      </c>
      <c r="L170" s="13">
        <f t="shared" si="31"/>
        <v>29.873500000000014</v>
      </c>
      <c r="M170" s="3" t="s">
        <v>11</v>
      </c>
    </row>
    <row r="171" spans="1:13" x14ac:dyDescent="0.2">
      <c r="A171" s="10">
        <v>43006</v>
      </c>
      <c r="C171">
        <v>32.9</v>
      </c>
      <c r="D171">
        <v>34.35</v>
      </c>
      <c r="E171">
        <v>32.83</v>
      </c>
      <c r="F171">
        <v>33.99</v>
      </c>
      <c r="G171">
        <v>15222211</v>
      </c>
      <c r="H171">
        <v>514880896</v>
      </c>
      <c r="I171" s="13">
        <f t="shared" si="28"/>
        <v>33.167999999999999</v>
      </c>
      <c r="J171" s="13">
        <f t="shared" si="29"/>
        <v>32.173999999999999</v>
      </c>
      <c r="K171" s="13">
        <f t="shared" si="30"/>
        <v>30.886000000000006</v>
      </c>
      <c r="L171" s="13">
        <f t="shared" si="31"/>
        <v>29.900500000000015</v>
      </c>
      <c r="M171" s="3" t="s">
        <v>11</v>
      </c>
    </row>
    <row r="172" spans="1:13" x14ac:dyDescent="0.2">
      <c r="A172" s="10">
        <v>43007</v>
      </c>
      <c r="C172">
        <v>33.97</v>
      </c>
      <c r="D172">
        <v>34.549999999999997</v>
      </c>
      <c r="E172">
        <v>33.700000000000003</v>
      </c>
      <c r="F172">
        <v>34.19</v>
      </c>
      <c r="G172">
        <v>12806560</v>
      </c>
      <c r="H172">
        <v>436892384</v>
      </c>
      <c r="I172" s="13">
        <f t="shared" si="28"/>
        <v>33.411999999999999</v>
      </c>
      <c r="J172" s="13">
        <f t="shared" si="29"/>
        <v>32.591999999999999</v>
      </c>
      <c r="K172" s="13">
        <f t="shared" si="30"/>
        <v>31.122500000000002</v>
      </c>
      <c r="L172" s="13">
        <f t="shared" si="31"/>
        <v>29.963833333333348</v>
      </c>
      <c r="M172" s="3" t="s">
        <v>42</v>
      </c>
    </row>
    <row r="173" spans="1:13" x14ac:dyDescent="0.2">
      <c r="A173" s="10">
        <v>43017</v>
      </c>
      <c r="C173">
        <v>35.71</v>
      </c>
      <c r="D173">
        <v>36.28</v>
      </c>
      <c r="E173">
        <v>34.700000000000003</v>
      </c>
      <c r="F173">
        <v>34.880000000000003</v>
      </c>
      <c r="G173">
        <v>30033382</v>
      </c>
      <c r="H173">
        <v>1072964096</v>
      </c>
      <c r="I173" s="13">
        <f t="shared" si="28"/>
        <v>33.620000000000005</v>
      </c>
      <c r="J173" s="13">
        <f t="shared" si="29"/>
        <v>32.912999999999997</v>
      </c>
      <c r="K173" s="13">
        <f t="shared" si="30"/>
        <v>31.361499999999999</v>
      </c>
      <c r="L173" s="13">
        <f t="shared" si="31"/>
        <v>30.035666666666678</v>
      </c>
      <c r="M173" s="5" t="s">
        <v>43</v>
      </c>
    </row>
    <row r="174" spans="1:13" x14ac:dyDescent="0.2">
      <c r="A174" s="10">
        <v>43018</v>
      </c>
      <c r="C174">
        <v>35.450000000000003</v>
      </c>
      <c r="D174">
        <v>35.840000000000003</v>
      </c>
      <c r="E174">
        <v>33.14</v>
      </c>
      <c r="F174">
        <v>34.67</v>
      </c>
      <c r="G174">
        <v>39219745</v>
      </c>
      <c r="H174">
        <v>1338405760</v>
      </c>
      <c r="I174" s="13">
        <f t="shared" si="28"/>
        <v>33.805999999999997</v>
      </c>
      <c r="J174" s="13">
        <f t="shared" si="29"/>
        <v>33.283999999999999</v>
      </c>
      <c r="K174" s="13">
        <f t="shared" si="30"/>
        <v>31.643000000000001</v>
      </c>
      <c r="L174" s="13">
        <f t="shared" si="31"/>
        <v>30.134333333333348</v>
      </c>
      <c r="M174" s="3" t="s">
        <v>11</v>
      </c>
    </row>
    <row r="175" spans="1:13" x14ac:dyDescent="0.2">
      <c r="A175" s="10">
        <v>43019</v>
      </c>
      <c r="C175">
        <v>34.450000000000003</v>
      </c>
      <c r="D175">
        <v>36.46</v>
      </c>
      <c r="E175">
        <v>34.4</v>
      </c>
      <c r="F175">
        <v>35.83</v>
      </c>
      <c r="G175">
        <v>27121701</v>
      </c>
      <c r="H175">
        <v>968357568</v>
      </c>
      <c r="I175" s="13">
        <f t="shared" si="28"/>
        <v>34.137999999999998</v>
      </c>
      <c r="J175" s="13">
        <f t="shared" si="29"/>
        <v>33.632999999999996</v>
      </c>
      <c r="K175" s="13">
        <f t="shared" si="30"/>
        <v>31.893499999999996</v>
      </c>
      <c r="L175" s="13">
        <f t="shared" si="31"/>
        <v>30.220666666666681</v>
      </c>
      <c r="M175" s="3" t="s">
        <v>11</v>
      </c>
    </row>
    <row r="176" spans="1:13" x14ac:dyDescent="0.2">
      <c r="A176" s="10">
        <v>43020</v>
      </c>
      <c r="C176">
        <v>35.58</v>
      </c>
      <c r="D176">
        <v>37</v>
      </c>
      <c r="E176">
        <v>35.200000000000003</v>
      </c>
      <c r="F176">
        <v>36.700000000000003</v>
      </c>
      <c r="G176">
        <v>18743683</v>
      </c>
      <c r="H176">
        <v>682708224</v>
      </c>
      <c r="I176" s="13">
        <f t="shared" si="28"/>
        <v>34.712000000000003</v>
      </c>
      <c r="J176" s="13">
        <f t="shared" si="29"/>
        <v>33.940000000000005</v>
      </c>
      <c r="K176" s="13">
        <f t="shared" si="30"/>
        <v>32.201999999999991</v>
      </c>
      <c r="L176" s="13">
        <f t="shared" si="31"/>
        <v>30.330500000000015</v>
      </c>
      <c r="M176" s="3" t="s">
        <v>11</v>
      </c>
    </row>
    <row r="177" spans="1:13" x14ac:dyDescent="0.2">
      <c r="A177" s="10">
        <v>43021</v>
      </c>
      <c r="C177">
        <v>36.520000000000003</v>
      </c>
      <c r="D177">
        <v>37.25</v>
      </c>
      <c r="E177">
        <v>36.409999999999997</v>
      </c>
      <c r="F177">
        <v>36.67</v>
      </c>
      <c r="G177">
        <v>13277303</v>
      </c>
      <c r="H177">
        <v>490115712</v>
      </c>
      <c r="I177" s="13">
        <f t="shared" si="28"/>
        <v>35.253999999999998</v>
      </c>
      <c r="J177" s="13">
        <f t="shared" si="29"/>
        <v>34.332999999999998</v>
      </c>
      <c r="K177" s="13">
        <f t="shared" si="30"/>
        <v>32.518500000000003</v>
      </c>
      <c r="L177" s="13">
        <f t="shared" si="31"/>
        <v>30.44700000000001</v>
      </c>
      <c r="M177" s="3" t="s">
        <v>11</v>
      </c>
    </row>
    <row r="178" spans="1:13" x14ac:dyDescent="0.2">
      <c r="A178" s="10">
        <v>43024</v>
      </c>
      <c r="C178">
        <v>36.979999999999997</v>
      </c>
      <c r="D178">
        <v>37.950000000000003</v>
      </c>
      <c r="E178">
        <v>36.68</v>
      </c>
      <c r="F178">
        <v>37.53</v>
      </c>
      <c r="G178">
        <v>13943747</v>
      </c>
      <c r="H178">
        <v>522091392</v>
      </c>
      <c r="I178" s="13">
        <f t="shared" si="28"/>
        <v>35.75</v>
      </c>
      <c r="J178" s="13">
        <f t="shared" si="29"/>
        <v>34.685000000000002</v>
      </c>
      <c r="K178" s="13">
        <f t="shared" si="30"/>
        <v>32.830999999999996</v>
      </c>
      <c r="L178" s="13">
        <f t="shared" si="31"/>
        <v>30.558500000000013</v>
      </c>
      <c r="M178" t="s">
        <v>44</v>
      </c>
    </row>
    <row r="179" spans="1:13" x14ac:dyDescent="0.2">
      <c r="A179" s="10">
        <v>43025</v>
      </c>
      <c r="C179">
        <v>37.56</v>
      </c>
      <c r="D179">
        <v>37.799999999999997</v>
      </c>
      <c r="E179">
        <v>36.880000000000003</v>
      </c>
      <c r="F179">
        <v>37.630000000000003</v>
      </c>
      <c r="G179">
        <v>10585671</v>
      </c>
      <c r="H179">
        <v>395559072</v>
      </c>
      <c r="I179" s="13">
        <f t="shared" si="28"/>
        <v>36.28</v>
      </c>
      <c r="J179" s="13">
        <f t="shared" si="29"/>
        <v>35.042999999999992</v>
      </c>
      <c r="K179" s="13">
        <f t="shared" si="30"/>
        <v>33.232500000000002</v>
      </c>
      <c r="L179" s="13">
        <f t="shared" si="31"/>
        <v>30.685500000000008</v>
      </c>
      <c r="M179" s="3" t="s">
        <v>11</v>
      </c>
    </row>
    <row r="180" spans="1:13" x14ac:dyDescent="0.2">
      <c r="A180" s="10">
        <v>43026</v>
      </c>
      <c r="C180">
        <v>37.6</v>
      </c>
      <c r="D180">
        <v>37.6</v>
      </c>
      <c r="E180">
        <v>36.76</v>
      </c>
      <c r="F180">
        <v>37.29</v>
      </c>
      <c r="G180">
        <v>9953540</v>
      </c>
      <c r="H180">
        <v>369609888</v>
      </c>
      <c r="I180" s="13">
        <f>SUM(F175:F179)/5</f>
        <v>36.872</v>
      </c>
      <c r="J180" s="13">
        <f>SUM(F170:F179)/10</f>
        <v>35.504999999999995</v>
      </c>
      <c r="K180" s="13">
        <f>SUM(F160:F179)/20</f>
        <v>33.652000000000001</v>
      </c>
      <c r="L180" s="13">
        <f>SUM(F120:F179)/60</f>
        <v>30.834166666666679</v>
      </c>
      <c r="M180" s="3" t="s">
        <v>11</v>
      </c>
    </row>
    <row r="181" spans="1:13" x14ac:dyDescent="0.2">
      <c r="A181" s="10">
        <v>43027</v>
      </c>
      <c r="C181">
        <v>37.43</v>
      </c>
      <c r="D181">
        <v>39.799999999999997</v>
      </c>
      <c r="E181">
        <v>37.43</v>
      </c>
      <c r="F181">
        <v>39.46</v>
      </c>
      <c r="G181">
        <v>22640000</v>
      </c>
      <c r="H181">
        <v>881000000</v>
      </c>
      <c r="I181" s="13">
        <f t="shared" ref="I181:I185" si="32">SUM(F176:F180)/5</f>
        <v>37.164000000000001</v>
      </c>
      <c r="J181" s="13">
        <f t="shared" ref="J181:J185" si="33">SUM(F171:F180)/10</f>
        <v>35.938000000000002</v>
      </c>
      <c r="K181" s="13">
        <f t="shared" ref="K181:K185" si="34">SUM(F161:F180)/20</f>
        <v>34.055999999999997</v>
      </c>
      <c r="L181" s="13">
        <f t="shared" ref="L181:L185" si="35">SUM(F121:F180)/60</f>
        <v>30.975333333333342</v>
      </c>
      <c r="M181" s="3" t="s">
        <v>45</v>
      </c>
    </row>
    <row r="182" spans="1:13" x14ac:dyDescent="0.2">
      <c r="A182" s="10">
        <v>43028</v>
      </c>
      <c r="C182">
        <v>39.200000000000003</v>
      </c>
      <c r="D182">
        <v>40.01</v>
      </c>
      <c r="E182">
        <v>38.58</v>
      </c>
      <c r="F182">
        <v>39.46</v>
      </c>
      <c r="G182">
        <v>12060000</v>
      </c>
      <c r="H182">
        <v>473000000</v>
      </c>
      <c r="I182" s="13">
        <f t="shared" si="32"/>
        <v>37.716000000000001</v>
      </c>
      <c r="J182" s="13">
        <f t="shared" si="33"/>
        <v>36.484999999999999</v>
      </c>
      <c r="K182" s="13">
        <f t="shared" si="34"/>
        <v>34.538499999999999</v>
      </c>
      <c r="L182" s="13">
        <f t="shared" si="35"/>
        <v>31.15750000000001</v>
      </c>
      <c r="M182" s="3" t="s">
        <v>11</v>
      </c>
    </row>
    <row r="183" spans="1:13" x14ac:dyDescent="0.2">
      <c r="A183" s="10">
        <v>43031</v>
      </c>
      <c r="C183">
        <v>39.380000000000003</v>
      </c>
      <c r="D183">
        <v>39.94</v>
      </c>
      <c r="E183">
        <v>38.76</v>
      </c>
      <c r="F183">
        <v>39.44</v>
      </c>
      <c r="G183">
        <v>10700000</v>
      </c>
      <c r="H183">
        <v>420000000</v>
      </c>
      <c r="I183" s="13">
        <f t="shared" si="32"/>
        <v>38.274000000000001</v>
      </c>
      <c r="J183" s="13">
        <f t="shared" si="33"/>
        <v>37.011999999999993</v>
      </c>
      <c r="K183" s="13">
        <f t="shared" si="34"/>
        <v>34.962499999999999</v>
      </c>
      <c r="L183" s="13">
        <f t="shared" si="35"/>
        <v>31.338333333333342</v>
      </c>
      <c r="M183" s="3" t="s">
        <v>11</v>
      </c>
    </row>
    <row r="184" spans="1:13" x14ac:dyDescent="0.2">
      <c r="A184" s="10">
        <v>43032</v>
      </c>
      <c r="C184">
        <v>39.18</v>
      </c>
      <c r="D184">
        <v>40.700000000000003</v>
      </c>
      <c r="E184">
        <v>38.950000000000003</v>
      </c>
      <c r="F184">
        <v>39.909999999999997</v>
      </c>
      <c r="G184">
        <v>14340000</v>
      </c>
      <c r="H184">
        <v>575000000</v>
      </c>
      <c r="I184" s="13">
        <f t="shared" si="32"/>
        <v>38.655999999999999</v>
      </c>
      <c r="J184" s="13">
        <f t="shared" si="33"/>
        <v>37.467999999999996</v>
      </c>
      <c r="K184" s="13">
        <f t="shared" si="34"/>
        <v>35.375999999999998</v>
      </c>
      <c r="L184" s="13">
        <f t="shared" si="35"/>
        <v>31.509833333333344</v>
      </c>
      <c r="M184" s="3" t="s">
        <v>11</v>
      </c>
    </row>
    <row r="185" spans="1:13" x14ac:dyDescent="0.2">
      <c r="A185" s="10">
        <v>43033</v>
      </c>
      <c r="C185">
        <v>39.909999999999997</v>
      </c>
      <c r="D185">
        <v>41.95</v>
      </c>
      <c r="E185">
        <v>39.700000000000003</v>
      </c>
      <c r="F185">
        <v>41.75</v>
      </c>
      <c r="G185">
        <v>18220000</v>
      </c>
      <c r="H185">
        <v>751000000</v>
      </c>
      <c r="I185" s="13">
        <f t="shared" si="32"/>
        <v>39.112000000000002</v>
      </c>
      <c r="J185" s="13">
        <f t="shared" si="33"/>
        <v>37.991999999999997</v>
      </c>
      <c r="K185" s="13">
        <f t="shared" si="34"/>
        <v>35.812499999999993</v>
      </c>
      <c r="L185" s="13">
        <f t="shared" si="35"/>
        <v>31.682000000000009</v>
      </c>
      <c r="M185" s="3" t="s">
        <v>11</v>
      </c>
    </row>
  </sheetData>
  <mergeCells count="1">
    <mergeCell ref="M66:M85"/>
  </mergeCells>
  <phoneticPr fontId="1" type="noConversion"/>
  <hyperlinks>
    <hyperlink ref="M128" r:id="rId1" display="知情人士称，印度准备拒绝复星医药提出的以13亿美元收购一家印度制药公司的要约。"/>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0"/>
  <sheetViews>
    <sheetView showRuler="0" topLeftCell="A155" zoomScale="70" zoomScaleNormal="70" workbookViewId="0">
      <selection activeCell="I66" sqref="I66:L66"/>
    </sheetView>
  </sheetViews>
  <sheetFormatPr baseColWidth="10" defaultRowHeight="16" x14ac:dyDescent="0.2"/>
  <cols>
    <col min="1" max="1" width="11.33203125" bestFit="1" customWidth="1"/>
    <col min="3" max="7" width="11" bestFit="1" customWidth="1"/>
    <col min="8" max="8" width="13" customWidth="1"/>
  </cols>
  <sheetData>
    <row r="1" spans="1:13" x14ac:dyDescent="0.2">
      <c r="A1" s="6" t="s">
        <v>46</v>
      </c>
      <c r="B1" s="7" t="s">
        <v>47</v>
      </c>
      <c r="C1" s="7" t="s">
        <v>48</v>
      </c>
      <c r="D1" s="7" t="s">
        <v>49</v>
      </c>
      <c r="E1" s="7" t="s">
        <v>50</v>
      </c>
    </row>
    <row r="2" spans="1:13" x14ac:dyDescent="0.2">
      <c r="A2" s="8" t="s">
        <v>90</v>
      </c>
      <c r="B2" s="9" t="s">
        <v>57</v>
      </c>
      <c r="C2" s="9" t="s">
        <v>58</v>
      </c>
      <c r="D2" s="11">
        <v>2202</v>
      </c>
      <c r="E2" s="9" t="s">
        <v>89</v>
      </c>
    </row>
    <row r="4" spans="1:13" x14ac:dyDescent="0.2">
      <c r="A4" t="s">
        <v>7</v>
      </c>
      <c r="I4" s="13"/>
      <c r="J4" s="13"/>
      <c r="K4" s="13"/>
      <c r="L4" s="13"/>
    </row>
    <row r="5" spans="1:13" x14ac:dyDescent="0.2">
      <c r="A5" t="s">
        <v>3</v>
      </c>
      <c r="B5" t="s">
        <v>4</v>
      </c>
      <c r="C5" t="s">
        <v>5</v>
      </c>
      <c r="D5" t="s">
        <v>54</v>
      </c>
      <c r="E5" t="s">
        <v>55</v>
      </c>
      <c r="F5" t="s">
        <v>56</v>
      </c>
      <c r="G5" t="s">
        <v>6</v>
      </c>
      <c r="H5" t="s">
        <v>52</v>
      </c>
      <c r="I5" s="13" t="s">
        <v>108</v>
      </c>
      <c r="J5" s="13" t="s">
        <v>109</v>
      </c>
      <c r="K5" s="13" t="s">
        <v>110</v>
      </c>
      <c r="L5" s="13" t="s">
        <v>111</v>
      </c>
      <c r="M5" s="13" t="s">
        <v>112</v>
      </c>
    </row>
    <row r="6" spans="1:13" x14ac:dyDescent="0.2">
      <c r="A6" s="14">
        <v>42369</v>
      </c>
      <c r="B6" s="15"/>
      <c r="C6" s="15">
        <v>22.5</v>
      </c>
      <c r="D6" s="15">
        <v>23.24</v>
      </c>
      <c r="E6" s="15">
        <v>22.21</v>
      </c>
      <c r="F6" s="15">
        <v>22.79</v>
      </c>
      <c r="G6" s="15">
        <v>131774134</v>
      </c>
      <c r="H6" s="15">
        <v>2997338880</v>
      </c>
    </row>
    <row r="7" spans="1:13" x14ac:dyDescent="0.2">
      <c r="A7" s="14">
        <v>42373</v>
      </c>
      <c r="B7" s="15"/>
      <c r="C7" s="15">
        <v>22.2</v>
      </c>
      <c r="D7" s="15">
        <v>22.45</v>
      </c>
      <c r="E7" s="15">
        <v>20.51</v>
      </c>
      <c r="F7" s="15">
        <v>20.51</v>
      </c>
      <c r="G7" s="15">
        <v>69708015</v>
      </c>
      <c r="H7" s="15">
        <v>1481121536</v>
      </c>
    </row>
    <row r="8" spans="1:13" x14ac:dyDescent="0.2">
      <c r="A8" s="14">
        <v>42374</v>
      </c>
      <c r="B8" s="15"/>
      <c r="C8" s="15">
        <v>20.21</v>
      </c>
      <c r="D8" s="15">
        <v>22.35</v>
      </c>
      <c r="E8" s="15">
        <v>20.010000000000002</v>
      </c>
      <c r="F8" s="15">
        <v>22.01</v>
      </c>
      <c r="G8" s="15">
        <v>123055432</v>
      </c>
      <c r="H8" s="15">
        <v>2604088832</v>
      </c>
    </row>
    <row r="9" spans="1:13" x14ac:dyDescent="0.2">
      <c r="A9" s="14">
        <v>42375</v>
      </c>
      <c r="B9" s="15"/>
      <c r="C9" s="15">
        <v>21.7</v>
      </c>
      <c r="D9" s="15">
        <v>22.17</v>
      </c>
      <c r="E9" s="15">
        <v>21.27</v>
      </c>
      <c r="F9" s="15">
        <v>22</v>
      </c>
      <c r="G9" s="15">
        <v>87211448</v>
      </c>
      <c r="H9" s="15">
        <v>1899864064</v>
      </c>
    </row>
    <row r="10" spans="1:13" x14ac:dyDescent="0.2">
      <c r="A10" s="14">
        <v>42376</v>
      </c>
      <c r="B10" s="15"/>
      <c r="C10" s="15">
        <v>21.39</v>
      </c>
      <c r="D10" s="15">
        <v>21.39</v>
      </c>
      <c r="E10" s="15">
        <v>19.8</v>
      </c>
      <c r="F10" s="15">
        <v>19.8</v>
      </c>
      <c r="G10" s="15">
        <v>24134480</v>
      </c>
      <c r="H10" s="15">
        <v>492489888</v>
      </c>
    </row>
    <row r="11" spans="1:13" x14ac:dyDescent="0.2">
      <c r="A11" s="14">
        <v>42377</v>
      </c>
      <c r="B11" s="15"/>
      <c r="C11" s="15">
        <v>20.5</v>
      </c>
      <c r="D11" s="15">
        <v>20.78</v>
      </c>
      <c r="E11" s="15">
        <v>18.850000000000001</v>
      </c>
      <c r="F11" s="15">
        <v>20.21</v>
      </c>
      <c r="G11" s="15">
        <v>78202029</v>
      </c>
      <c r="H11" s="15">
        <v>1583072512</v>
      </c>
    </row>
    <row r="12" spans="1:13" x14ac:dyDescent="0.2">
      <c r="A12" s="14">
        <v>42380</v>
      </c>
      <c r="B12" s="15"/>
      <c r="C12" s="15">
        <v>19.100000000000001</v>
      </c>
      <c r="D12" s="15">
        <v>19.91</v>
      </c>
      <c r="E12" s="15">
        <v>18.2</v>
      </c>
      <c r="F12" s="15">
        <v>18.28</v>
      </c>
      <c r="G12" s="15">
        <v>76001149</v>
      </c>
      <c r="H12" s="15">
        <v>1449269376</v>
      </c>
    </row>
    <row r="13" spans="1:13" x14ac:dyDescent="0.2">
      <c r="A13" s="14">
        <v>42381</v>
      </c>
      <c r="B13" s="15"/>
      <c r="C13" s="15">
        <v>18.63</v>
      </c>
      <c r="D13" s="15">
        <v>19.43</v>
      </c>
      <c r="E13" s="15">
        <v>18.09</v>
      </c>
      <c r="F13" s="15">
        <v>18.82</v>
      </c>
      <c r="G13" s="15">
        <v>71751207</v>
      </c>
      <c r="H13" s="15">
        <v>1354656768</v>
      </c>
    </row>
    <row r="14" spans="1:13" x14ac:dyDescent="0.2">
      <c r="A14" s="14">
        <v>42382</v>
      </c>
      <c r="B14" s="15"/>
      <c r="C14" s="15">
        <v>18.899999999999999</v>
      </c>
      <c r="D14" s="15">
        <v>19.47</v>
      </c>
      <c r="E14" s="15">
        <v>18.18</v>
      </c>
      <c r="F14" s="15">
        <v>18.190000000000001</v>
      </c>
      <c r="G14" s="15">
        <v>61551880</v>
      </c>
      <c r="H14" s="15">
        <v>1159698944</v>
      </c>
    </row>
    <row r="15" spans="1:13" x14ac:dyDescent="0.2">
      <c r="A15" s="14">
        <v>42383</v>
      </c>
      <c r="B15" s="15"/>
      <c r="C15" s="15">
        <v>17.510000000000002</v>
      </c>
      <c r="D15" s="15">
        <v>19.32</v>
      </c>
      <c r="E15" s="15">
        <v>17.510000000000002</v>
      </c>
      <c r="F15" s="15">
        <v>19.2</v>
      </c>
      <c r="G15" s="15">
        <v>69796959</v>
      </c>
      <c r="H15" s="15">
        <v>1302092544</v>
      </c>
    </row>
    <row r="16" spans="1:13" x14ac:dyDescent="0.2">
      <c r="A16" s="14">
        <v>42384</v>
      </c>
      <c r="B16" s="15"/>
      <c r="C16" s="15">
        <v>19</v>
      </c>
      <c r="D16" s="15">
        <v>19.170000000000002</v>
      </c>
      <c r="E16" s="15">
        <v>17.8</v>
      </c>
      <c r="F16" s="15">
        <v>18</v>
      </c>
      <c r="G16" s="15">
        <v>60010118</v>
      </c>
      <c r="H16" s="15">
        <v>1108475136</v>
      </c>
    </row>
    <row r="17" spans="1:8" x14ac:dyDescent="0.2">
      <c r="A17" s="14">
        <v>42387</v>
      </c>
      <c r="B17" s="15"/>
      <c r="C17" s="15">
        <v>17.79</v>
      </c>
      <c r="D17" s="15">
        <v>18.649999999999999</v>
      </c>
      <c r="E17" s="15">
        <v>17.690000000000001</v>
      </c>
      <c r="F17" s="15">
        <v>18.3</v>
      </c>
      <c r="G17" s="15">
        <v>47297579</v>
      </c>
      <c r="H17" s="15">
        <v>865530304</v>
      </c>
    </row>
    <row r="18" spans="1:8" x14ac:dyDescent="0.2">
      <c r="A18" s="14">
        <v>42388</v>
      </c>
      <c r="B18" s="15"/>
      <c r="C18" s="15">
        <v>18.25</v>
      </c>
      <c r="D18" s="15">
        <v>19.100000000000001</v>
      </c>
      <c r="E18" s="15">
        <v>18.11</v>
      </c>
      <c r="F18" s="15">
        <v>18.920000000000002</v>
      </c>
      <c r="G18" s="15">
        <v>60535899</v>
      </c>
      <c r="H18" s="15">
        <v>1128765952</v>
      </c>
    </row>
    <row r="19" spans="1:8" x14ac:dyDescent="0.2">
      <c r="A19" s="14">
        <v>42389</v>
      </c>
      <c r="B19" s="15"/>
      <c r="C19" s="15">
        <v>18.670000000000002</v>
      </c>
      <c r="D19" s="15">
        <v>18.809999999999999</v>
      </c>
      <c r="E19" s="15">
        <v>18.03</v>
      </c>
      <c r="F19" s="15">
        <v>18.170000000000002</v>
      </c>
      <c r="G19" s="15">
        <v>59572184</v>
      </c>
      <c r="H19" s="15">
        <v>1097513088</v>
      </c>
    </row>
    <row r="20" spans="1:8" x14ac:dyDescent="0.2">
      <c r="A20" s="14">
        <v>42390</v>
      </c>
      <c r="B20" s="15"/>
      <c r="C20" s="15">
        <v>17.850000000000001</v>
      </c>
      <c r="D20" s="15">
        <v>18.170000000000002</v>
      </c>
      <c r="E20" s="15">
        <v>17</v>
      </c>
      <c r="F20" s="15">
        <v>17.079999999999998</v>
      </c>
      <c r="G20" s="15">
        <v>59358322</v>
      </c>
      <c r="H20" s="15">
        <v>1046091072</v>
      </c>
    </row>
    <row r="21" spans="1:8" x14ac:dyDescent="0.2">
      <c r="A21" s="14">
        <v>42391</v>
      </c>
      <c r="B21" s="15"/>
      <c r="C21" s="15">
        <v>17.3</v>
      </c>
      <c r="D21" s="15">
        <v>17.399999999999999</v>
      </c>
      <c r="E21" s="15">
        <v>16.66</v>
      </c>
      <c r="F21" s="15">
        <v>17.16</v>
      </c>
      <c r="G21" s="15">
        <v>41812148</v>
      </c>
      <c r="H21" s="15">
        <v>714596160</v>
      </c>
    </row>
    <row r="22" spans="1:8" x14ac:dyDescent="0.2">
      <c r="A22" s="14">
        <v>42394</v>
      </c>
      <c r="B22" s="15"/>
      <c r="C22" s="15">
        <v>17.39</v>
      </c>
      <c r="D22" s="15">
        <v>17.88</v>
      </c>
      <c r="E22" s="15">
        <v>17.25</v>
      </c>
      <c r="F22" s="15">
        <v>17.39</v>
      </c>
      <c r="G22" s="15">
        <v>42617679</v>
      </c>
      <c r="H22" s="15">
        <v>746239936</v>
      </c>
    </row>
    <row r="23" spans="1:8" x14ac:dyDescent="0.2">
      <c r="A23" s="14">
        <v>42395</v>
      </c>
      <c r="B23" s="15"/>
      <c r="C23" s="15">
        <v>17.05</v>
      </c>
      <c r="D23" s="15">
        <v>17.2</v>
      </c>
      <c r="E23" s="15">
        <v>15.65</v>
      </c>
      <c r="F23" s="15">
        <v>15.7</v>
      </c>
      <c r="G23" s="15">
        <v>54264485</v>
      </c>
      <c r="H23" s="15">
        <v>891347712</v>
      </c>
    </row>
    <row r="24" spans="1:8" x14ac:dyDescent="0.2">
      <c r="A24" s="14">
        <v>42396</v>
      </c>
      <c r="B24" s="15"/>
      <c r="C24" s="15">
        <v>15.8</v>
      </c>
      <c r="D24" s="15">
        <v>16.64</v>
      </c>
      <c r="E24" s="15">
        <v>15.29</v>
      </c>
      <c r="F24" s="15">
        <v>16.45</v>
      </c>
      <c r="G24" s="15">
        <v>67272250</v>
      </c>
      <c r="H24" s="15">
        <v>1075336576</v>
      </c>
    </row>
    <row r="25" spans="1:8" x14ac:dyDescent="0.2">
      <c r="A25" s="14">
        <v>42397</v>
      </c>
      <c r="B25" s="15"/>
      <c r="C25" s="15">
        <v>16.12</v>
      </c>
      <c r="D25" s="15">
        <v>16.25</v>
      </c>
      <c r="E25" s="15">
        <v>15.31</v>
      </c>
      <c r="F25" s="15">
        <v>15.4</v>
      </c>
      <c r="G25" s="15">
        <v>38824949</v>
      </c>
      <c r="H25" s="15">
        <v>616481984</v>
      </c>
    </row>
    <row r="26" spans="1:8" x14ac:dyDescent="0.2">
      <c r="A26" s="14">
        <v>42398</v>
      </c>
      <c r="B26" s="15"/>
      <c r="C26" s="15">
        <v>15.47</v>
      </c>
      <c r="D26" s="15">
        <v>16.309999999999999</v>
      </c>
      <c r="E26" s="15">
        <v>15.4</v>
      </c>
      <c r="F26" s="15">
        <v>16.02</v>
      </c>
      <c r="G26" s="15">
        <v>45026770</v>
      </c>
      <c r="H26" s="15">
        <v>718006272</v>
      </c>
    </row>
    <row r="27" spans="1:8" x14ac:dyDescent="0.2">
      <c r="A27" s="14">
        <v>42401</v>
      </c>
      <c r="B27" s="15"/>
      <c r="C27" s="15">
        <v>16</v>
      </c>
      <c r="D27" s="15">
        <v>16.18</v>
      </c>
      <c r="E27" s="15">
        <v>15.3</v>
      </c>
      <c r="F27" s="15">
        <v>15.62</v>
      </c>
      <c r="G27" s="15">
        <v>32703041</v>
      </c>
      <c r="H27" s="15">
        <v>517151584</v>
      </c>
    </row>
    <row r="28" spans="1:8" x14ac:dyDescent="0.2">
      <c r="A28" s="14">
        <v>42402</v>
      </c>
      <c r="B28" s="15"/>
      <c r="C28" s="15">
        <v>15.76</v>
      </c>
      <c r="D28" s="15">
        <v>16.36</v>
      </c>
      <c r="E28" s="15">
        <v>15.65</v>
      </c>
      <c r="F28" s="15">
        <v>16.260000000000002</v>
      </c>
      <c r="G28" s="15">
        <v>43226394</v>
      </c>
      <c r="H28" s="15">
        <v>697615360</v>
      </c>
    </row>
    <row r="29" spans="1:8" x14ac:dyDescent="0.2">
      <c r="A29" s="14">
        <v>42403</v>
      </c>
      <c r="B29" s="15"/>
      <c r="C29" s="15">
        <v>16.059999999999999</v>
      </c>
      <c r="D29" s="15">
        <v>16.25</v>
      </c>
      <c r="E29" s="15">
        <v>15.68</v>
      </c>
      <c r="F29" s="15">
        <v>16.16</v>
      </c>
      <c r="G29" s="15">
        <v>34755729</v>
      </c>
      <c r="H29" s="15">
        <v>553591360</v>
      </c>
    </row>
    <row r="30" spans="1:8" x14ac:dyDescent="0.2">
      <c r="A30" s="14">
        <v>42404</v>
      </c>
      <c r="B30" s="15"/>
      <c r="C30" s="15">
        <v>16.28</v>
      </c>
      <c r="D30" s="15">
        <v>16.670000000000002</v>
      </c>
      <c r="E30" s="15">
        <v>16.25</v>
      </c>
      <c r="F30" s="15">
        <v>16.39</v>
      </c>
      <c r="G30" s="15">
        <v>40756002</v>
      </c>
      <c r="H30" s="15">
        <v>670382912</v>
      </c>
    </row>
    <row r="31" spans="1:8" x14ac:dyDescent="0.2">
      <c r="A31" s="14">
        <v>42405</v>
      </c>
      <c r="B31" s="15"/>
      <c r="C31" s="15">
        <v>16.52</v>
      </c>
      <c r="D31" s="15">
        <v>16.64</v>
      </c>
      <c r="E31" s="15">
        <v>16.22</v>
      </c>
      <c r="F31" s="15">
        <v>16.28</v>
      </c>
      <c r="G31" s="15">
        <v>37549394</v>
      </c>
      <c r="H31" s="15">
        <v>616259840</v>
      </c>
    </row>
    <row r="32" spans="1:8" x14ac:dyDescent="0.2">
      <c r="A32" s="14">
        <v>42415</v>
      </c>
      <c r="B32" s="15"/>
      <c r="C32" s="15">
        <v>15.5</v>
      </c>
      <c r="D32" s="15">
        <v>16.09</v>
      </c>
      <c r="E32" s="15">
        <v>15.5</v>
      </c>
      <c r="F32" s="15">
        <v>15.98</v>
      </c>
      <c r="G32" s="15">
        <v>26206362</v>
      </c>
      <c r="H32" s="15">
        <v>415386208</v>
      </c>
    </row>
    <row r="33" spans="1:8" x14ac:dyDescent="0.2">
      <c r="A33" s="14">
        <v>42416</v>
      </c>
      <c r="B33" s="15"/>
      <c r="C33" s="15">
        <v>16.13</v>
      </c>
      <c r="D33" s="15">
        <v>16.88</v>
      </c>
      <c r="E33" s="15">
        <v>16.13</v>
      </c>
      <c r="F33" s="15">
        <v>16.670000000000002</v>
      </c>
      <c r="G33" s="15">
        <v>44091121</v>
      </c>
      <c r="H33" s="15">
        <v>728925696</v>
      </c>
    </row>
    <row r="34" spans="1:8" x14ac:dyDescent="0.2">
      <c r="A34" s="14">
        <v>42417</v>
      </c>
      <c r="B34" s="15"/>
      <c r="C34" s="15">
        <v>16.68</v>
      </c>
      <c r="D34" s="15">
        <v>16.850000000000001</v>
      </c>
      <c r="E34" s="15">
        <v>16.48</v>
      </c>
      <c r="F34" s="15">
        <v>16.73</v>
      </c>
      <c r="G34" s="15">
        <v>41702607</v>
      </c>
      <c r="H34" s="15">
        <v>694543872</v>
      </c>
    </row>
    <row r="35" spans="1:8" x14ac:dyDescent="0.2">
      <c r="A35" s="14">
        <v>42418</v>
      </c>
      <c r="B35" s="15"/>
      <c r="C35" s="15">
        <v>16.940000000000001</v>
      </c>
      <c r="D35" s="15">
        <v>17.350000000000001</v>
      </c>
      <c r="E35" s="15">
        <v>16.63</v>
      </c>
      <c r="F35" s="15">
        <v>16.91</v>
      </c>
      <c r="G35" s="15">
        <v>58633629</v>
      </c>
      <c r="H35" s="15">
        <v>997183168</v>
      </c>
    </row>
    <row r="36" spans="1:8" x14ac:dyDescent="0.2">
      <c r="A36" s="14">
        <v>42419</v>
      </c>
      <c r="B36" s="15"/>
      <c r="C36" s="15">
        <v>16.88</v>
      </c>
      <c r="D36" s="15">
        <v>17.05</v>
      </c>
      <c r="E36" s="15">
        <v>16.739999999999998</v>
      </c>
      <c r="F36" s="15">
        <v>16.96</v>
      </c>
      <c r="G36" s="15">
        <v>31205013</v>
      </c>
      <c r="H36" s="15">
        <v>527050784</v>
      </c>
    </row>
    <row r="37" spans="1:8" x14ac:dyDescent="0.2">
      <c r="A37" s="14">
        <v>42422</v>
      </c>
      <c r="B37" s="15"/>
      <c r="C37" s="15">
        <v>17.25</v>
      </c>
      <c r="D37" s="15">
        <v>17.3</v>
      </c>
      <c r="E37" s="15">
        <v>16.98</v>
      </c>
      <c r="F37" s="15">
        <v>17.149999999999999</v>
      </c>
      <c r="G37" s="15">
        <v>38232418</v>
      </c>
      <c r="H37" s="15">
        <v>655158656</v>
      </c>
    </row>
    <row r="38" spans="1:8" x14ac:dyDescent="0.2">
      <c r="A38" s="14">
        <v>42423</v>
      </c>
      <c r="B38" s="15"/>
      <c r="C38" s="15">
        <v>17.2</v>
      </c>
      <c r="D38" s="15">
        <v>17.64</v>
      </c>
      <c r="E38" s="15">
        <v>17.04</v>
      </c>
      <c r="F38" s="15">
        <v>17.28</v>
      </c>
      <c r="G38" s="15">
        <v>43919560</v>
      </c>
      <c r="H38" s="15">
        <v>759956736</v>
      </c>
    </row>
    <row r="39" spans="1:8" x14ac:dyDescent="0.2">
      <c r="A39" s="14">
        <v>42424</v>
      </c>
      <c r="B39" s="15"/>
      <c r="C39" s="15">
        <v>17.13</v>
      </c>
      <c r="D39" s="15">
        <v>17.28</v>
      </c>
      <c r="E39" s="15">
        <v>16.61</v>
      </c>
      <c r="F39" s="15">
        <v>17.07</v>
      </c>
      <c r="G39" s="15">
        <v>38881224</v>
      </c>
      <c r="H39" s="15">
        <v>658975744</v>
      </c>
    </row>
    <row r="40" spans="1:8" x14ac:dyDescent="0.2">
      <c r="A40" s="14">
        <v>42425</v>
      </c>
      <c r="B40" s="15"/>
      <c r="C40" s="15">
        <v>17.09</v>
      </c>
      <c r="D40" s="15">
        <v>17.100000000000001</v>
      </c>
      <c r="E40" s="15">
        <v>15.36</v>
      </c>
      <c r="F40" s="15">
        <v>15.4</v>
      </c>
      <c r="G40" s="15">
        <v>51554892</v>
      </c>
      <c r="H40" s="15">
        <v>829377088</v>
      </c>
    </row>
    <row r="41" spans="1:8" x14ac:dyDescent="0.2">
      <c r="A41" s="14">
        <v>42426</v>
      </c>
      <c r="B41" s="15"/>
      <c r="C41" s="15">
        <v>15.66</v>
      </c>
      <c r="D41" s="15">
        <v>15.79</v>
      </c>
      <c r="E41" s="15">
        <v>14.98</v>
      </c>
      <c r="F41" s="15">
        <v>15.29</v>
      </c>
      <c r="G41" s="15">
        <v>30047410</v>
      </c>
      <c r="H41" s="15">
        <v>462857280</v>
      </c>
    </row>
    <row r="42" spans="1:8" x14ac:dyDescent="0.2">
      <c r="A42" s="14">
        <v>42429</v>
      </c>
      <c r="B42" s="15"/>
      <c r="C42" s="15">
        <v>15.35</v>
      </c>
      <c r="D42" s="15">
        <v>15.43</v>
      </c>
      <c r="E42" s="15">
        <v>14.06</v>
      </c>
      <c r="F42" s="15">
        <v>14.46</v>
      </c>
      <c r="G42" s="15">
        <v>32957772</v>
      </c>
      <c r="H42" s="15">
        <v>478388704</v>
      </c>
    </row>
    <row r="43" spans="1:8" x14ac:dyDescent="0.2">
      <c r="A43" s="14">
        <v>42430</v>
      </c>
      <c r="B43" s="15"/>
      <c r="C43" s="15">
        <v>14.58</v>
      </c>
      <c r="D43" s="15">
        <v>14.91</v>
      </c>
      <c r="E43" s="15">
        <v>14.26</v>
      </c>
      <c r="F43" s="15">
        <v>14.75</v>
      </c>
      <c r="G43" s="15">
        <v>26131212</v>
      </c>
      <c r="H43" s="15">
        <v>381939424</v>
      </c>
    </row>
    <row r="44" spans="1:8" x14ac:dyDescent="0.2">
      <c r="A44" s="14">
        <v>42431</v>
      </c>
      <c r="B44" s="15"/>
      <c r="C44" s="15">
        <v>14.78</v>
      </c>
      <c r="D44" s="15">
        <v>15.66</v>
      </c>
      <c r="E44" s="15">
        <v>14.75</v>
      </c>
      <c r="F44" s="15">
        <v>15.56</v>
      </c>
      <c r="G44" s="15">
        <v>34827886</v>
      </c>
      <c r="H44" s="15">
        <v>530425248</v>
      </c>
    </row>
    <row r="45" spans="1:8" x14ac:dyDescent="0.2">
      <c r="A45" s="14">
        <v>42432</v>
      </c>
      <c r="B45" s="15"/>
      <c r="C45" s="15">
        <v>15.57</v>
      </c>
      <c r="D45" s="15">
        <v>15.9</v>
      </c>
      <c r="E45" s="15">
        <v>15.5</v>
      </c>
      <c r="F45" s="15">
        <v>15.53</v>
      </c>
      <c r="G45" s="15">
        <v>36133653</v>
      </c>
      <c r="H45" s="15">
        <v>566362048</v>
      </c>
    </row>
    <row r="46" spans="1:8" x14ac:dyDescent="0.2">
      <c r="A46" s="14">
        <v>42433</v>
      </c>
      <c r="B46" s="15"/>
      <c r="C46" s="15">
        <v>15.41</v>
      </c>
      <c r="D46" s="15">
        <v>15.62</v>
      </c>
      <c r="E46" s="15">
        <v>15.2</v>
      </c>
      <c r="F46" s="15">
        <v>15.34</v>
      </c>
      <c r="G46" s="15">
        <v>38602559</v>
      </c>
      <c r="H46" s="15">
        <v>594877440</v>
      </c>
    </row>
    <row r="47" spans="1:8" x14ac:dyDescent="0.2">
      <c r="A47" s="14">
        <v>42436</v>
      </c>
      <c r="B47" s="15"/>
      <c r="C47" s="15">
        <v>15.46</v>
      </c>
      <c r="D47" s="15">
        <v>15.79</v>
      </c>
      <c r="E47" s="15">
        <v>15.32</v>
      </c>
      <c r="F47" s="15">
        <v>15.53</v>
      </c>
      <c r="G47" s="15">
        <v>23488697</v>
      </c>
      <c r="H47" s="15">
        <v>365736064</v>
      </c>
    </row>
    <row r="48" spans="1:8" x14ac:dyDescent="0.2">
      <c r="A48" s="14">
        <v>42437</v>
      </c>
      <c r="B48" s="15"/>
      <c r="C48" s="15">
        <v>15.45</v>
      </c>
      <c r="D48" s="15">
        <v>15.46</v>
      </c>
      <c r="E48" s="15">
        <v>14.68</v>
      </c>
      <c r="F48" s="15">
        <v>15.25</v>
      </c>
      <c r="G48" s="15">
        <v>30856182</v>
      </c>
      <c r="H48" s="15">
        <v>463756832</v>
      </c>
    </row>
    <row r="49" spans="1:8" x14ac:dyDescent="0.2">
      <c r="A49" s="14">
        <v>42438</v>
      </c>
      <c r="B49" s="15"/>
      <c r="C49" s="15">
        <v>14.89</v>
      </c>
      <c r="D49" s="15">
        <v>15.04</v>
      </c>
      <c r="E49" s="15">
        <v>14.75</v>
      </c>
      <c r="F49" s="15">
        <v>14.93</v>
      </c>
      <c r="G49" s="15">
        <v>19358694</v>
      </c>
      <c r="H49" s="15">
        <v>288504160</v>
      </c>
    </row>
    <row r="50" spans="1:8" x14ac:dyDescent="0.2">
      <c r="A50" s="14">
        <v>42439</v>
      </c>
      <c r="B50" s="15"/>
      <c r="C50" s="15">
        <v>14.93</v>
      </c>
      <c r="D50" s="15">
        <v>15.12</v>
      </c>
      <c r="E50" s="15">
        <v>14.75</v>
      </c>
      <c r="F50" s="15">
        <v>14.8</v>
      </c>
      <c r="G50" s="15">
        <v>17306589</v>
      </c>
      <c r="H50" s="15">
        <v>259163408</v>
      </c>
    </row>
    <row r="51" spans="1:8" x14ac:dyDescent="0.2">
      <c r="A51" s="14">
        <v>42440</v>
      </c>
      <c r="B51" s="15"/>
      <c r="C51" s="15">
        <v>14.69</v>
      </c>
      <c r="D51" s="15">
        <v>14.79</v>
      </c>
      <c r="E51" s="15">
        <v>14.51</v>
      </c>
      <c r="F51" s="15">
        <v>14.59</v>
      </c>
      <c r="G51" s="15">
        <v>14615698</v>
      </c>
      <c r="H51" s="15">
        <v>213660560</v>
      </c>
    </row>
    <row r="52" spans="1:8" x14ac:dyDescent="0.2">
      <c r="A52" s="14">
        <v>42443</v>
      </c>
      <c r="B52" s="15"/>
      <c r="C52" s="15">
        <v>15</v>
      </c>
      <c r="D52" s="15">
        <v>15.34</v>
      </c>
      <c r="E52" s="15">
        <v>14.85</v>
      </c>
      <c r="F52" s="15">
        <v>15.19</v>
      </c>
      <c r="G52" s="15">
        <v>29413223</v>
      </c>
      <c r="H52" s="15">
        <v>445850400</v>
      </c>
    </row>
    <row r="53" spans="1:8" x14ac:dyDescent="0.2">
      <c r="A53" s="14">
        <v>42444</v>
      </c>
      <c r="B53" s="15"/>
      <c r="C53" s="15">
        <v>15.15</v>
      </c>
      <c r="D53" s="15">
        <v>15.45</v>
      </c>
      <c r="E53" s="15">
        <v>15.04</v>
      </c>
      <c r="F53" s="15">
        <v>15.2</v>
      </c>
      <c r="G53" s="15">
        <v>23688157</v>
      </c>
      <c r="H53" s="15">
        <v>361165728</v>
      </c>
    </row>
    <row r="54" spans="1:8" x14ac:dyDescent="0.2">
      <c r="A54" s="14">
        <v>42445</v>
      </c>
      <c r="B54" s="15"/>
      <c r="C54" s="15">
        <v>15.3</v>
      </c>
      <c r="D54" s="15">
        <v>15.38</v>
      </c>
      <c r="E54" s="15">
        <v>14.83</v>
      </c>
      <c r="F54" s="15">
        <v>14.9</v>
      </c>
      <c r="G54" s="15">
        <v>20511821</v>
      </c>
      <c r="H54" s="15">
        <v>308329696</v>
      </c>
    </row>
    <row r="55" spans="1:8" x14ac:dyDescent="0.2">
      <c r="A55" s="14">
        <v>42446</v>
      </c>
      <c r="B55" s="15"/>
      <c r="C55" s="15">
        <v>14.98</v>
      </c>
      <c r="D55" s="15">
        <v>15.5</v>
      </c>
      <c r="E55" s="15">
        <v>14.92</v>
      </c>
      <c r="F55" s="15">
        <v>15.45</v>
      </c>
      <c r="G55" s="15">
        <v>36557791</v>
      </c>
      <c r="H55" s="15">
        <v>558779584</v>
      </c>
    </row>
    <row r="56" spans="1:8" x14ac:dyDescent="0.2">
      <c r="A56" s="14">
        <v>42447</v>
      </c>
      <c r="B56" s="15"/>
      <c r="C56" s="15">
        <v>15.52</v>
      </c>
      <c r="D56" s="15">
        <v>16.149999999999999</v>
      </c>
      <c r="E56" s="15">
        <v>15.51</v>
      </c>
      <c r="F56" s="15">
        <v>15.89</v>
      </c>
      <c r="G56" s="15">
        <v>56951679</v>
      </c>
      <c r="H56" s="15">
        <v>901409920</v>
      </c>
    </row>
    <row r="57" spans="1:8" x14ac:dyDescent="0.2">
      <c r="A57" s="14">
        <v>42450</v>
      </c>
      <c r="B57" s="15"/>
      <c r="C57" s="15">
        <v>16.12</v>
      </c>
      <c r="D57" s="15">
        <v>16.36</v>
      </c>
      <c r="E57" s="15">
        <v>15.92</v>
      </c>
      <c r="F57" s="15">
        <v>16.18</v>
      </c>
      <c r="G57" s="15">
        <v>64824399</v>
      </c>
      <c r="H57" s="15">
        <v>1046098048</v>
      </c>
    </row>
    <row r="58" spans="1:8" x14ac:dyDescent="0.2">
      <c r="A58" s="14">
        <v>42451</v>
      </c>
      <c r="B58" s="15"/>
      <c r="C58" s="15">
        <v>16.100000000000001</v>
      </c>
      <c r="D58" s="15">
        <v>17.37</v>
      </c>
      <c r="E58" s="15">
        <v>15.98</v>
      </c>
      <c r="F58" s="15">
        <v>16.64</v>
      </c>
      <c r="G58" s="15">
        <v>70385978</v>
      </c>
      <c r="H58" s="15">
        <v>1179797888</v>
      </c>
    </row>
    <row r="59" spans="1:8" x14ac:dyDescent="0.2">
      <c r="A59" s="14">
        <v>42452</v>
      </c>
      <c r="B59" s="15"/>
      <c r="C59" s="15">
        <v>16.55</v>
      </c>
      <c r="D59" s="15">
        <v>16.75</v>
      </c>
      <c r="E59" s="15">
        <v>16.239999999999998</v>
      </c>
      <c r="F59" s="15">
        <v>16.559999999999999</v>
      </c>
      <c r="G59" s="15">
        <v>40121717</v>
      </c>
      <c r="H59" s="15">
        <v>659837952</v>
      </c>
    </row>
    <row r="60" spans="1:8" x14ac:dyDescent="0.2">
      <c r="A60" s="14">
        <v>42453</v>
      </c>
      <c r="B60" s="15"/>
      <c r="C60" s="15">
        <v>16.34</v>
      </c>
      <c r="D60" s="15">
        <v>16.489999999999998</v>
      </c>
      <c r="E60" s="15">
        <v>16.05</v>
      </c>
      <c r="F60" s="15">
        <v>16.05</v>
      </c>
      <c r="G60" s="15">
        <v>39863398</v>
      </c>
      <c r="H60" s="15">
        <v>647183424</v>
      </c>
    </row>
    <row r="61" spans="1:8" x14ac:dyDescent="0.2">
      <c r="A61" s="14">
        <v>42454</v>
      </c>
      <c r="B61" s="15"/>
      <c r="C61" s="15">
        <v>15.98</v>
      </c>
      <c r="D61" s="15">
        <v>16.53</v>
      </c>
      <c r="E61" s="15">
        <v>15.94</v>
      </c>
      <c r="F61" s="15">
        <v>16.440000000000001</v>
      </c>
      <c r="G61" s="15">
        <v>36464681</v>
      </c>
      <c r="H61" s="15">
        <v>592907648</v>
      </c>
    </row>
    <row r="62" spans="1:8" x14ac:dyDescent="0.2">
      <c r="A62" s="14">
        <v>42457</v>
      </c>
      <c r="B62" s="15"/>
      <c r="C62" s="15">
        <v>16.579999999999998</v>
      </c>
      <c r="D62" s="15">
        <v>16.7</v>
      </c>
      <c r="E62" s="15">
        <v>16.170000000000002</v>
      </c>
      <c r="F62" s="15">
        <v>16.2</v>
      </c>
      <c r="G62" s="15">
        <v>33789923</v>
      </c>
      <c r="H62" s="15">
        <v>555536192</v>
      </c>
    </row>
    <row r="63" spans="1:8" x14ac:dyDescent="0.2">
      <c r="A63" s="14">
        <v>42458</v>
      </c>
      <c r="B63" s="15"/>
      <c r="C63" s="15">
        <v>16.16</v>
      </c>
      <c r="D63" s="15">
        <v>16.350000000000001</v>
      </c>
      <c r="E63" s="15">
        <v>15.86</v>
      </c>
      <c r="F63" s="15">
        <v>16.100000000000001</v>
      </c>
      <c r="G63" s="15">
        <v>28279769</v>
      </c>
      <c r="H63" s="15">
        <v>454731168</v>
      </c>
    </row>
    <row r="64" spans="1:8" x14ac:dyDescent="0.2">
      <c r="A64" s="14">
        <v>42459</v>
      </c>
      <c r="B64" s="15"/>
      <c r="C64" s="15">
        <v>16.28</v>
      </c>
      <c r="D64" s="15">
        <v>16.600000000000001</v>
      </c>
      <c r="E64" s="15">
        <v>16.2</v>
      </c>
      <c r="F64" s="15">
        <v>16.55</v>
      </c>
      <c r="G64" s="15">
        <v>38104753</v>
      </c>
      <c r="H64" s="15">
        <v>625400960</v>
      </c>
    </row>
    <row r="65" spans="1:13" x14ac:dyDescent="0.2">
      <c r="A65" s="14">
        <v>42460</v>
      </c>
      <c r="B65" s="15"/>
      <c r="C65" s="15">
        <v>16.690000000000001</v>
      </c>
      <c r="D65" s="15">
        <v>16.739999999999998</v>
      </c>
      <c r="E65" s="15">
        <v>16.34</v>
      </c>
      <c r="F65" s="15">
        <v>16.420000000000002</v>
      </c>
      <c r="G65" s="15">
        <v>34059892</v>
      </c>
      <c r="H65" s="15">
        <v>562210816</v>
      </c>
    </row>
    <row r="66" spans="1:13" x14ac:dyDescent="0.2">
      <c r="A66" s="16">
        <v>42461</v>
      </c>
      <c r="B66" s="17"/>
      <c r="C66" s="17">
        <v>16.399999999999999</v>
      </c>
      <c r="D66" s="17">
        <v>16.52</v>
      </c>
      <c r="E66" s="17">
        <v>16.03</v>
      </c>
      <c r="F66" s="17">
        <v>16.32</v>
      </c>
      <c r="G66" s="17">
        <v>24288357</v>
      </c>
      <c r="H66" s="17">
        <v>395385728</v>
      </c>
      <c r="I66" s="18">
        <f>SUM(F61:F65)/5</f>
        <v>16.342000000000002</v>
      </c>
      <c r="J66" s="18">
        <f>SUM(F56:F65)/10</f>
        <v>16.303000000000004</v>
      </c>
      <c r="K66" s="18">
        <f>SUM(F46:F65)/20</f>
        <v>15.710500000000001</v>
      </c>
      <c r="L66" s="18">
        <f>SUM(F6:F65)/60</f>
        <v>16.850999999999996</v>
      </c>
      <c r="M66" s="23" t="s">
        <v>114</v>
      </c>
    </row>
    <row r="67" spans="1:13" x14ac:dyDescent="0.2">
      <c r="A67" s="16">
        <v>42465</v>
      </c>
      <c r="B67" s="17"/>
      <c r="C67" s="17">
        <v>16.329999999999998</v>
      </c>
      <c r="D67" s="17">
        <v>16.760000000000002</v>
      </c>
      <c r="E67" s="17">
        <v>16.25</v>
      </c>
      <c r="F67" s="17">
        <v>16.7</v>
      </c>
      <c r="G67" s="17">
        <v>37037366</v>
      </c>
      <c r="H67" s="17">
        <v>613055040</v>
      </c>
      <c r="I67" s="18">
        <f t="shared" ref="I67:I130" si="0">SUM(F62:F66)/5</f>
        <v>16.318000000000001</v>
      </c>
      <c r="J67" s="18">
        <f t="shared" ref="J67:J130" si="1">SUM(F57:F66)/10</f>
        <v>16.345999999999997</v>
      </c>
      <c r="K67" s="18">
        <f t="shared" ref="K67:K130" si="2">SUM(F47:F66)/20</f>
        <v>15.759500000000003</v>
      </c>
      <c r="L67" s="18">
        <f t="shared" ref="L67:L130" si="3">SUM(F7:F66)/60</f>
        <v>16.743166666666664</v>
      </c>
      <c r="M67" s="24"/>
    </row>
    <row r="68" spans="1:13" x14ac:dyDescent="0.2">
      <c r="A68" s="16">
        <v>42466</v>
      </c>
      <c r="B68" s="17"/>
      <c r="C68" s="17">
        <v>16.690000000000001</v>
      </c>
      <c r="D68" s="17">
        <v>17.09</v>
      </c>
      <c r="E68" s="17">
        <v>16.53</v>
      </c>
      <c r="F68" s="17">
        <v>16.75</v>
      </c>
      <c r="G68" s="17">
        <v>41502895</v>
      </c>
      <c r="H68" s="17">
        <v>697618432</v>
      </c>
      <c r="I68" s="18">
        <f t="shared" si="0"/>
        <v>16.418000000000003</v>
      </c>
      <c r="J68" s="18">
        <f t="shared" si="1"/>
        <v>16.398</v>
      </c>
      <c r="K68" s="18">
        <f t="shared" si="2"/>
        <v>15.818000000000001</v>
      </c>
      <c r="L68" s="18">
        <f t="shared" si="3"/>
        <v>16.679666666666666</v>
      </c>
      <c r="M68" s="24"/>
    </row>
    <row r="69" spans="1:13" x14ac:dyDescent="0.2">
      <c r="A69" s="16">
        <v>42467</v>
      </c>
      <c r="B69" s="17"/>
      <c r="C69" s="17">
        <v>16.78</v>
      </c>
      <c r="D69" s="17">
        <v>16.96</v>
      </c>
      <c r="E69" s="17">
        <v>16.46</v>
      </c>
      <c r="F69" s="17">
        <v>16.46</v>
      </c>
      <c r="G69" s="17">
        <v>35142388</v>
      </c>
      <c r="H69" s="17">
        <v>583978496</v>
      </c>
      <c r="I69" s="18">
        <f t="shared" si="0"/>
        <v>16.547999999999998</v>
      </c>
      <c r="J69" s="18">
        <f t="shared" si="1"/>
        <v>16.408999999999999</v>
      </c>
      <c r="K69" s="18">
        <f t="shared" si="2"/>
        <v>15.892999999999997</v>
      </c>
      <c r="L69" s="18">
        <f t="shared" si="3"/>
        <v>16.591999999999999</v>
      </c>
      <c r="M69" s="24"/>
    </row>
    <row r="70" spans="1:13" x14ac:dyDescent="0.2">
      <c r="A70" s="16">
        <v>42468</v>
      </c>
      <c r="B70" s="17"/>
      <c r="C70" s="17">
        <v>16.34</v>
      </c>
      <c r="D70" s="17">
        <v>16.34</v>
      </c>
      <c r="E70" s="17">
        <v>16.13</v>
      </c>
      <c r="F70" s="17">
        <v>16.22</v>
      </c>
      <c r="G70" s="17">
        <v>26190513</v>
      </c>
      <c r="H70" s="17">
        <v>424183808</v>
      </c>
      <c r="I70" s="18">
        <f t="shared" si="0"/>
        <v>16.53</v>
      </c>
      <c r="J70" s="18">
        <f t="shared" si="1"/>
        <v>16.398999999999997</v>
      </c>
      <c r="K70" s="18">
        <f t="shared" si="2"/>
        <v>15.9695</v>
      </c>
      <c r="L70" s="18">
        <f t="shared" si="3"/>
        <v>16.499666666666666</v>
      </c>
      <c r="M70" s="24"/>
    </row>
    <row r="71" spans="1:13" x14ac:dyDescent="0.2">
      <c r="A71" s="16">
        <v>42471</v>
      </c>
      <c r="B71" s="17"/>
      <c r="C71" s="17">
        <v>16.3</v>
      </c>
      <c r="D71" s="17">
        <v>16.63</v>
      </c>
      <c r="E71" s="17">
        <v>16.3</v>
      </c>
      <c r="F71" s="17">
        <v>16.43</v>
      </c>
      <c r="G71" s="17">
        <v>30773028</v>
      </c>
      <c r="H71" s="17">
        <v>507196320</v>
      </c>
      <c r="I71" s="18">
        <f t="shared" si="0"/>
        <v>16.489999999999998</v>
      </c>
      <c r="J71" s="18">
        <f t="shared" si="1"/>
        <v>16.416000000000004</v>
      </c>
      <c r="K71" s="18">
        <f t="shared" si="2"/>
        <v>16.040499999999998</v>
      </c>
      <c r="L71" s="18">
        <f t="shared" si="3"/>
        <v>16.440000000000001</v>
      </c>
      <c r="M71" s="24"/>
    </row>
    <row r="72" spans="1:13" x14ac:dyDescent="0.2">
      <c r="A72" s="16">
        <v>42472</v>
      </c>
      <c r="B72" s="17"/>
      <c r="C72" s="17">
        <v>16.45</v>
      </c>
      <c r="D72" s="17">
        <v>16.61</v>
      </c>
      <c r="E72" s="17">
        <v>16.350000000000001</v>
      </c>
      <c r="F72" s="17">
        <v>16.52</v>
      </c>
      <c r="G72" s="17">
        <v>25914050</v>
      </c>
      <c r="H72" s="17">
        <v>426867168</v>
      </c>
      <c r="I72" s="18">
        <f t="shared" si="0"/>
        <v>16.512</v>
      </c>
      <c r="J72" s="18">
        <f t="shared" si="1"/>
        <v>16.414999999999999</v>
      </c>
      <c r="K72" s="18">
        <f t="shared" si="2"/>
        <v>16.132499999999997</v>
      </c>
      <c r="L72" s="18">
        <f t="shared" si="3"/>
        <v>16.376999999999999</v>
      </c>
      <c r="M72" s="24"/>
    </row>
    <row r="73" spans="1:13" x14ac:dyDescent="0.2">
      <c r="A73" s="16">
        <v>42473</v>
      </c>
      <c r="B73" s="17"/>
      <c r="C73" s="17">
        <v>16.61</v>
      </c>
      <c r="D73" s="17">
        <v>17.03</v>
      </c>
      <c r="E73" s="17">
        <v>16.53</v>
      </c>
      <c r="F73" s="17">
        <v>16.71</v>
      </c>
      <c r="G73" s="17">
        <v>48729836</v>
      </c>
      <c r="H73" s="17">
        <v>820730752</v>
      </c>
      <c r="I73" s="18">
        <f t="shared" si="0"/>
        <v>16.475999999999999</v>
      </c>
      <c r="J73" s="18">
        <f t="shared" si="1"/>
        <v>16.447000000000003</v>
      </c>
      <c r="K73" s="18">
        <f t="shared" si="2"/>
        <v>16.198999999999998</v>
      </c>
      <c r="L73" s="18">
        <f t="shared" si="3"/>
        <v>16.347666666666665</v>
      </c>
      <c r="M73" s="24"/>
    </row>
    <row r="74" spans="1:13" x14ac:dyDescent="0.2">
      <c r="A74" s="16">
        <v>42474</v>
      </c>
      <c r="B74" s="17"/>
      <c r="C74" s="17">
        <v>16.86</v>
      </c>
      <c r="D74" s="17">
        <v>16.86</v>
      </c>
      <c r="E74" s="17">
        <v>16.55</v>
      </c>
      <c r="F74" s="17">
        <v>16.75</v>
      </c>
      <c r="G74" s="17">
        <v>28015844</v>
      </c>
      <c r="H74" s="17">
        <v>467742528</v>
      </c>
      <c r="I74" s="18">
        <f t="shared" si="0"/>
        <v>16.468</v>
      </c>
      <c r="J74" s="18">
        <f t="shared" si="1"/>
        <v>16.508000000000003</v>
      </c>
      <c r="K74" s="18">
        <f t="shared" si="2"/>
        <v>16.274499999999996</v>
      </c>
      <c r="L74" s="18">
        <f t="shared" si="3"/>
        <v>16.312500000000004</v>
      </c>
      <c r="M74" s="24"/>
    </row>
    <row r="75" spans="1:13" x14ac:dyDescent="0.2">
      <c r="A75" s="16">
        <v>42475</v>
      </c>
      <c r="B75" s="17"/>
      <c r="C75" s="17">
        <v>16.7</v>
      </c>
      <c r="D75" s="17">
        <v>16.829999999999998</v>
      </c>
      <c r="E75" s="17">
        <v>16.559999999999999</v>
      </c>
      <c r="F75" s="17">
        <v>16.600000000000001</v>
      </c>
      <c r="G75" s="17">
        <v>25353175</v>
      </c>
      <c r="H75" s="17">
        <v>421903808</v>
      </c>
      <c r="I75" s="18">
        <f t="shared" si="0"/>
        <v>16.526</v>
      </c>
      <c r="J75" s="18">
        <f t="shared" si="1"/>
        <v>16.528000000000002</v>
      </c>
      <c r="K75" s="18">
        <f t="shared" si="2"/>
        <v>16.366999999999997</v>
      </c>
      <c r="L75" s="18">
        <f t="shared" si="3"/>
        <v>16.288500000000003</v>
      </c>
      <c r="M75" s="24"/>
    </row>
    <row r="76" spans="1:13" x14ac:dyDescent="0.2">
      <c r="A76" s="16">
        <v>42478</v>
      </c>
      <c r="B76" s="17"/>
      <c r="C76" s="17">
        <v>16.61</v>
      </c>
      <c r="D76" s="17">
        <v>16.62</v>
      </c>
      <c r="E76" s="17">
        <v>16.22</v>
      </c>
      <c r="F76" s="17">
        <v>16.29</v>
      </c>
      <c r="G76" s="17">
        <v>24256568</v>
      </c>
      <c r="H76" s="17">
        <v>395974688</v>
      </c>
      <c r="I76" s="18">
        <f t="shared" si="0"/>
        <v>16.601999999999997</v>
      </c>
      <c r="J76" s="18">
        <f t="shared" si="1"/>
        <v>16.545999999999999</v>
      </c>
      <c r="K76" s="18">
        <f t="shared" si="2"/>
        <v>16.424500000000002</v>
      </c>
      <c r="L76" s="18">
        <f t="shared" si="3"/>
        <v>16.245166666666666</v>
      </c>
      <c r="M76" s="24"/>
    </row>
    <row r="77" spans="1:13" x14ac:dyDescent="0.2">
      <c r="A77" s="16">
        <v>42479</v>
      </c>
      <c r="B77" s="17"/>
      <c r="C77" s="17">
        <v>16.37</v>
      </c>
      <c r="D77" s="17">
        <v>16.43</v>
      </c>
      <c r="E77" s="17">
        <v>16.25</v>
      </c>
      <c r="F77" s="17">
        <v>16.350000000000001</v>
      </c>
      <c r="G77" s="17">
        <v>18215330</v>
      </c>
      <c r="H77" s="17">
        <v>297197088</v>
      </c>
      <c r="I77" s="18">
        <f t="shared" si="0"/>
        <v>16.574000000000002</v>
      </c>
      <c r="J77" s="18">
        <f t="shared" si="1"/>
        <v>16.542999999999999</v>
      </c>
      <c r="K77" s="18">
        <f t="shared" si="2"/>
        <v>16.444499999999998</v>
      </c>
      <c r="L77" s="18">
        <f t="shared" si="3"/>
        <v>16.216666666666665</v>
      </c>
      <c r="M77" s="24"/>
    </row>
    <row r="78" spans="1:13" x14ac:dyDescent="0.2">
      <c r="A78" s="16">
        <v>42480</v>
      </c>
      <c r="B78" s="17"/>
      <c r="C78" s="17">
        <v>16.399999999999999</v>
      </c>
      <c r="D78" s="17">
        <v>16.420000000000002</v>
      </c>
      <c r="E78" s="17">
        <v>15.4</v>
      </c>
      <c r="F78" s="17">
        <v>15.77</v>
      </c>
      <c r="G78" s="17">
        <v>42402743</v>
      </c>
      <c r="H78" s="17">
        <v>669755392</v>
      </c>
      <c r="I78" s="18">
        <f t="shared" si="0"/>
        <v>16.54</v>
      </c>
      <c r="J78" s="18">
        <f t="shared" si="1"/>
        <v>16.507999999999999</v>
      </c>
      <c r="K78" s="18">
        <f t="shared" si="2"/>
        <v>16.453000000000003</v>
      </c>
      <c r="L78" s="18">
        <f t="shared" si="3"/>
        <v>16.184166666666666</v>
      </c>
      <c r="M78" s="24"/>
    </row>
    <row r="79" spans="1:13" x14ac:dyDescent="0.2">
      <c r="A79" s="16">
        <v>42481</v>
      </c>
      <c r="B79" s="17"/>
      <c r="C79" s="17">
        <v>15.69</v>
      </c>
      <c r="D79" s="17">
        <v>15.86</v>
      </c>
      <c r="E79" s="17">
        <v>15.48</v>
      </c>
      <c r="F79" s="17">
        <v>15.5</v>
      </c>
      <c r="G79" s="17">
        <v>18196652</v>
      </c>
      <c r="H79" s="17">
        <v>285039040</v>
      </c>
      <c r="I79" s="18">
        <f t="shared" si="0"/>
        <v>16.352</v>
      </c>
      <c r="J79" s="18">
        <f t="shared" si="1"/>
        <v>16.41</v>
      </c>
      <c r="K79" s="18">
        <f t="shared" si="2"/>
        <v>16.409500000000001</v>
      </c>
      <c r="L79" s="18">
        <f t="shared" si="3"/>
        <v>16.131666666666668</v>
      </c>
      <c r="M79" s="24"/>
    </row>
    <row r="80" spans="1:13" x14ac:dyDescent="0.2">
      <c r="A80" s="16">
        <v>42482</v>
      </c>
      <c r="B80" s="17"/>
      <c r="C80" s="17">
        <v>15.5</v>
      </c>
      <c r="D80" s="17">
        <v>15.78</v>
      </c>
      <c r="E80" s="17">
        <v>15.43</v>
      </c>
      <c r="F80" s="17">
        <v>15.68</v>
      </c>
      <c r="G80" s="17">
        <v>14039692</v>
      </c>
      <c r="H80" s="17">
        <v>219458912</v>
      </c>
      <c r="I80" s="18">
        <f t="shared" si="0"/>
        <v>16.102</v>
      </c>
      <c r="J80" s="18">
        <f t="shared" si="1"/>
        <v>16.314</v>
      </c>
      <c r="K80" s="18">
        <f t="shared" si="2"/>
        <v>16.356500000000004</v>
      </c>
      <c r="L80" s="18">
        <f t="shared" si="3"/>
        <v>16.087166666666665</v>
      </c>
      <c r="M80" s="24"/>
    </row>
    <row r="81" spans="1:13" x14ac:dyDescent="0.2">
      <c r="A81" s="16">
        <v>42485</v>
      </c>
      <c r="B81" s="17"/>
      <c r="C81" s="17">
        <v>15.68</v>
      </c>
      <c r="D81" s="17">
        <v>15.68</v>
      </c>
      <c r="E81" s="17">
        <v>15.15</v>
      </c>
      <c r="F81" s="17">
        <v>15.44</v>
      </c>
      <c r="G81" s="17">
        <v>16036941</v>
      </c>
      <c r="H81" s="17">
        <v>246780208</v>
      </c>
      <c r="I81" s="18">
        <f t="shared" si="0"/>
        <v>15.918000000000001</v>
      </c>
      <c r="J81" s="18">
        <f t="shared" si="1"/>
        <v>16.259999999999998</v>
      </c>
      <c r="K81" s="18">
        <f t="shared" si="2"/>
        <v>16.338000000000001</v>
      </c>
      <c r="L81" s="18">
        <f t="shared" si="3"/>
        <v>16.063833333333331</v>
      </c>
      <c r="M81" s="24"/>
    </row>
    <row r="82" spans="1:13" x14ac:dyDescent="0.2">
      <c r="A82" s="16">
        <v>42486</v>
      </c>
      <c r="B82" s="17"/>
      <c r="C82" s="17">
        <v>15.4</v>
      </c>
      <c r="D82" s="17">
        <v>15.63</v>
      </c>
      <c r="E82" s="17">
        <v>15.4</v>
      </c>
      <c r="F82" s="17">
        <v>15.58</v>
      </c>
      <c r="G82" s="17">
        <v>10918167</v>
      </c>
      <c r="H82" s="17">
        <v>169415808</v>
      </c>
      <c r="I82" s="18">
        <f t="shared" si="0"/>
        <v>15.748000000000001</v>
      </c>
      <c r="J82" s="18">
        <f t="shared" si="1"/>
        <v>16.161000000000001</v>
      </c>
      <c r="K82" s="18">
        <f t="shared" si="2"/>
        <v>16.288</v>
      </c>
      <c r="L82" s="18">
        <f t="shared" si="3"/>
        <v>16.035166666666665</v>
      </c>
      <c r="M82" s="24"/>
    </row>
    <row r="83" spans="1:13" x14ac:dyDescent="0.2">
      <c r="A83" s="16">
        <v>42487</v>
      </c>
      <c r="B83" s="17"/>
      <c r="C83" s="17">
        <v>15.58</v>
      </c>
      <c r="D83" s="17">
        <v>15.87</v>
      </c>
      <c r="E83" s="17">
        <v>15.58</v>
      </c>
      <c r="F83" s="17">
        <v>15.63</v>
      </c>
      <c r="G83" s="17">
        <v>18456983</v>
      </c>
      <c r="H83" s="17">
        <v>290430080</v>
      </c>
      <c r="I83" s="18">
        <f t="shared" si="0"/>
        <v>15.593999999999999</v>
      </c>
      <c r="J83" s="18">
        <f t="shared" si="1"/>
        <v>16.067</v>
      </c>
      <c r="K83" s="18">
        <f t="shared" si="2"/>
        <v>16.256999999999998</v>
      </c>
      <c r="L83" s="18">
        <f t="shared" si="3"/>
        <v>16.004999999999999</v>
      </c>
      <c r="M83" s="24"/>
    </row>
    <row r="84" spans="1:13" x14ac:dyDescent="0.2">
      <c r="A84" s="16">
        <v>42488</v>
      </c>
      <c r="B84" s="17"/>
      <c r="C84" s="17">
        <v>15.72</v>
      </c>
      <c r="D84" s="17">
        <v>15.73</v>
      </c>
      <c r="E84" s="17">
        <v>15.35</v>
      </c>
      <c r="F84" s="17">
        <v>15.58</v>
      </c>
      <c r="G84" s="17">
        <v>13278594</v>
      </c>
      <c r="H84" s="17">
        <v>206174544</v>
      </c>
      <c r="I84" s="18">
        <f t="shared" si="0"/>
        <v>15.565999999999999</v>
      </c>
      <c r="J84" s="18">
        <f t="shared" si="1"/>
        <v>15.959</v>
      </c>
      <c r="K84" s="18">
        <f t="shared" si="2"/>
        <v>16.233499999999999</v>
      </c>
      <c r="L84" s="18">
        <f t="shared" si="3"/>
        <v>16.003833333333333</v>
      </c>
      <c r="M84" s="24"/>
    </row>
    <row r="85" spans="1:13" x14ac:dyDescent="0.2">
      <c r="A85" s="16">
        <v>42489</v>
      </c>
      <c r="B85" s="17"/>
      <c r="C85" s="17">
        <v>15.66</v>
      </c>
      <c r="D85" s="17">
        <v>15.87</v>
      </c>
      <c r="E85" s="17">
        <v>15.61</v>
      </c>
      <c r="F85" s="17">
        <v>15.77</v>
      </c>
      <c r="G85" s="17">
        <v>16073766</v>
      </c>
      <c r="H85" s="17">
        <v>253453696</v>
      </c>
      <c r="I85" s="18">
        <f t="shared" si="0"/>
        <v>15.581999999999999</v>
      </c>
      <c r="J85" s="18">
        <f t="shared" si="1"/>
        <v>15.842000000000002</v>
      </c>
      <c r="K85" s="18">
        <f t="shared" si="2"/>
        <v>16.184999999999999</v>
      </c>
      <c r="L85" s="18">
        <f t="shared" si="3"/>
        <v>15.989333333333331</v>
      </c>
      <c r="M85" s="24"/>
    </row>
    <row r="86" spans="1:13" x14ac:dyDescent="0.2">
      <c r="A86" s="10">
        <v>42493</v>
      </c>
      <c r="C86">
        <v>15.82</v>
      </c>
      <c r="D86">
        <v>16.100000000000001</v>
      </c>
      <c r="E86">
        <v>15.63</v>
      </c>
      <c r="F86">
        <v>16.100000000000001</v>
      </c>
      <c r="G86">
        <v>20636077</v>
      </c>
      <c r="H86">
        <v>330198432</v>
      </c>
      <c r="I86" s="19">
        <f t="shared" si="0"/>
        <v>15.6</v>
      </c>
      <c r="J86" s="19">
        <f t="shared" si="1"/>
        <v>15.759</v>
      </c>
      <c r="K86" s="19">
        <f t="shared" si="2"/>
        <v>16.152499999999996</v>
      </c>
      <c r="L86" s="19">
        <f t="shared" si="3"/>
        <v>15.9955</v>
      </c>
      <c r="M86" t="s">
        <v>94</v>
      </c>
    </row>
    <row r="87" spans="1:13" x14ac:dyDescent="0.2">
      <c r="A87" s="10">
        <v>42494</v>
      </c>
      <c r="C87">
        <v>16.260000000000002</v>
      </c>
      <c r="D87">
        <v>16.88</v>
      </c>
      <c r="E87">
        <v>16.25</v>
      </c>
      <c r="F87">
        <v>16.52</v>
      </c>
      <c r="G87">
        <v>43366003</v>
      </c>
      <c r="H87">
        <v>721343872</v>
      </c>
      <c r="I87" s="19">
        <f t="shared" si="0"/>
        <v>15.731999999999999</v>
      </c>
      <c r="J87" s="19">
        <f t="shared" si="1"/>
        <v>15.74</v>
      </c>
      <c r="K87" s="19">
        <f t="shared" si="2"/>
        <v>16.141500000000001</v>
      </c>
      <c r="L87" s="19">
        <f t="shared" si="3"/>
        <v>15.996833333333335</v>
      </c>
      <c r="M87" t="s">
        <v>59</v>
      </c>
    </row>
    <row r="88" spans="1:13" x14ac:dyDescent="0.2">
      <c r="A88" s="10">
        <v>42495</v>
      </c>
      <c r="C88">
        <v>16.36</v>
      </c>
      <c r="D88">
        <v>16.53</v>
      </c>
      <c r="E88">
        <v>16.309999999999999</v>
      </c>
      <c r="F88">
        <v>16.41</v>
      </c>
      <c r="G88">
        <v>19857483</v>
      </c>
      <c r="H88">
        <v>325806048</v>
      </c>
      <c r="I88" s="19">
        <f t="shared" si="0"/>
        <v>15.920000000000002</v>
      </c>
      <c r="J88" s="19">
        <f t="shared" si="1"/>
        <v>15.757</v>
      </c>
      <c r="K88" s="19">
        <f t="shared" si="2"/>
        <v>16.1325</v>
      </c>
      <c r="L88" s="19">
        <f t="shared" si="3"/>
        <v>16.011833333333335</v>
      </c>
      <c r="M88" t="s">
        <v>92</v>
      </c>
    </row>
    <row r="89" spans="1:13" x14ac:dyDescent="0.2">
      <c r="A89" s="10">
        <v>42496</v>
      </c>
      <c r="C89">
        <v>16.41</v>
      </c>
      <c r="D89">
        <v>16.59</v>
      </c>
      <c r="E89">
        <v>15.68</v>
      </c>
      <c r="F89">
        <v>15.72</v>
      </c>
      <c r="G89">
        <v>30227080</v>
      </c>
      <c r="H89">
        <v>485710976</v>
      </c>
      <c r="I89" s="19">
        <f t="shared" si="0"/>
        <v>16.076000000000001</v>
      </c>
      <c r="J89" s="19">
        <f t="shared" si="1"/>
        <v>15.821000000000002</v>
      </c>
      <c r="K89" s="19">
        <f t="shared" si="2"/>
        <v>16.115500000000001</v>
      </c>
      <c r="L89" s="19">
        <f t="shared" si="3"/>
        <v>16.014333333333333</v>
      </c>
      <c r="M89" t="s">
        <v>93</v>
      </c>
    </row>
    <row r="90" spans="1:13" x14ac:dyDescent="0.2">
      <c r="A90" s="10">
        <v>42499</v>
      </c>
      <c r="C90">
        <v>15.58</v>
      </c>
      <c r="D90">
        <v>15.69</v>
      </c>
      <c r="E90">
        <v>15.07</v>
      </c>
      <c r="F90">
        <v>15.14</v>
      </c>
      <c r="G90">
        <v>20797691</v>
      </c>
      <c r="H90">
        <v>319248992</v>
      </c>
      <c r="I90" s="19">
        <f t="shared" si="0"/>
        <v>16.103999999999999</v>
      </c>
      <c r="J90" s="19">
        <f t="shared" si="1"/>
        <v>15.843</v>
      </c>
      <c r="K90" s="19">
        <f t="shared" si="2"/>
        <v>16.078500000000002</v>
      </c>
      <c r="L90" s="19">
        <f t="shared" si="3"/>
        <v>16.007000000000001</v>
      </c>
      <c r="M90" t="s">
        <v>104</v>
      </c>
    </row>
    <row r="91" spans="1:13" x14ac:dyDescent="0.2">
      <c r="A91" s="10">
        <v>42500</v>
      </c>
      <c r="C91">
        <v>15.1</v>
      </c>
      <c r="D91">
        <v>15.3</v>
      </c>
      <c r="E91">
        <v>15.1</v>
      </c>
      <c r="F91">
        <v>15.2</v>
      </c>
      <c r="G91">
        <v>11970685</v>
      </c>
      <c r="H91">
        <v>181951200</v>
      </c>
      <c r="I91" s="19">
        <f t="shared" si="0"/>
        <v>15.978</v>
      </c>
      <c r="J91" s="19">
        <f t="shared" si="1"/>
        <v>15.788999999999998</v>
      </c>
      <c r="K91" s="19">
        <f t="shared" si="2"/>
        <v>16.024500000000003</v>
      </c>
      <c r="L91" s="19">
        <f t="shared" si="3"/>
        <v>15.986166666666666</v>
      </c>
    </row>
    <row r="92" spans="1:13" x14ac:dyDescent="0.2">
      <c r="A92" s="10">
        <v>42501</v>
      </c>
      <c r="C92">
        <v>15.36</v>
      </c>
      <c r="D92">
        <v>15.4</v>
      </c>
      <c r="E92">
        <v>15.1</v>
      </c>
      <c r="F92">
        <v>15.21</v>
      </c>
      <c r="G92">
        <v>12593592</v>
      </c>
      <c r="H92">
        <v>192208256</v>
      </c>
      <c r="I92" s="19">
        <f t="shared" si="0"/>
        <v>15.797999999999998</v>
      </c>
      <c r="J92" s="19">
        <f t="shared" si="1"/>
        <v>15.764999999999997</v>
      </c>
      <c r="K92" s="19">
        <f t="shared" si="2"/>
        <v>15.963000000000003</v>
      </c>
      <c r="L92" s="19">
        <f t="shared" si="3"/>
        <v>15.968166666666669</v>
      </c>
    </row>
    <row r="93" spans="1:13" x14ac:dyDescent="0.2">
      <c r="A93" s="10">
        <v>42502</v>
      </c>
      <c r="C93">
        <v>14.93</v>
      </c>
      <c r="D93">
        <v>15.38</v>
      </c>
      <c r="E93">
        <v>14.88</v>
      </c>
      <c r="F93">
        <v>15.3</v>
      </c>
      <c r="G93">
        <v>15474406</v>
      </c>
      <c r="H93">
        <v>234565808</v>
      </c>
      <c r="I93" s="19">
        <f t="shared" si="0"/>
        <v>15.536000000000001</v>
      </c>
      <c r="J93" s="19">
        <f t="shared" si="1"/>
        <v>15.728</v>
      </c>
      <c r="K93" s="19">
        <f t="shared" si="2"/>
        <v>15.897499999999999</v>
      </c>
      <c r="L93" s="19">
        <f t="shared" si="3"/>
        <v>15.955333333333336</v>
      </c>
    </row>
    <row r="94" spans="1:13" x14ac:dyDescent="0.2">
      <c r="A94" s="10">
        <v>42503</v>
      </c>
      <c r="C94">
        <v>15.34</v>
      </c>
      <c r="D94">
        <v>15.37</v>
      </c>
      <c r="E94">
        <v>14.93</v>
      </c>
      <c r="F94">
        <v>15.02</v>
      </c>
      <c r="G94">
        <v>14555227</v>
      </c>
      <c r="H94">
        <v>220538928</v>
      </c>
      <c r="I94" s="19">
        <f t="shared" si="0"/>
        <v>15.314000000000002</v>
      </c>
      <c r="J94" s="19">
        <f t="shared" si="1"/>
        <v>15.695000000000002</v>
      </c>
      <c r="K94" s="19">
        <f t="shared" si="2"/>
        <v>15.827000000000002</v>
      </c>
      <c r="L94" s="19">
        <f t="shared" si="3"/>
        <v>15.932500000000003</v>
      </c>
    </row>
    <row r="95" spans="1:13" x14ac:dyDescent="0.2">
      <c r="A95" s="10">
        <v>42506</v>
      </c>
      <c r="C95">
        <v>15.02</v>
      </c>
      <c r="D95">
        <v>15.18</v>
      </c>
      <c r="E95">
        <v>14.82</v>
      </c>
      <c r="F95">
        <v>15.18</v>
      </c>
      <c r="G95">
        <v>12388195</v>
      </c>
      <c r="H95">
        <v>185950560</v>
      </c>
      <c r="I95" s="19">
        <f t="shared" si="0"/>
        <v>15.173999999999998</v>
      </c>
      <c r="J95" s="19">
        <f t="shared" si="1"/>
        <v>15.639000000000001</v>
      </c>
      <c r="K95" s="19">
        <f t="shared" si="2"/>
        <v>15.740500000000001</v>
      </c>
      <c r="L95" s="19">
        <f t="shared" si="3"/>
        <v>15.904000000000002</v>
      </c>
    </row>
    <row r="96" spans="1:13" x14ac:dyDescent="0.2">
      <c r="A96" s="10">
        <v>42507</v>
      </c>
      <c r="C96">
        <v>15.22</v>
      </c>
      <c r="D96">
        <v>15.26</v>
      </c>
      <c r="E96">
        <v>15</v>
      </c>
      <c r="F96">
        <v>15.06</v>
      </c>
      <c r="G96">
        <v>11886304</v>
      </c>
      <c r="H96">
        <v>179581536</v>
      </c>
      <c r="I96" s="19">
        <f t="shared" si="0"/>
        <v>15.181999999999999</v>
      </c>
      <c r="J96" s="19">
        <f t="shared" si="1"/>
        <v>15.580000000000002</v>
      </c>
      <c r="K96" s="19">
        <f t="shared" si="2"/>
        <v>15.669499999999999</v>
      </c>
      <c r="L96" s="19">
        <f t="shared" si="3"/>
        <v>15.875166666666669</v>
      </c>
    </row>
    <row r="97" spans="1:13" x14ac:dyDescent="0.2">
      <c r="A97" s="10">
        <v>42508</v>
      </c>
      <c r="C97">
        <v>15.06</v>
      </c>
      <c r="D97">
        <v>15.06</v>
      </c>
      <c r="E97">
        <v>14.62</v>
      </c>
      <c r="F97">
        <v>14.85</v>
      </c>
      <c r="G97">
        <v>16671628</v>
      </c>
      <c r="H97">
        <v>246651120</v>
      </c>
      <c r="I97" s="19">
        <f t="shared" si="0"/>
        <v>15.154</v>
      </c>
      <c r="J97" s="19">
        <f t="shared" si="1"/>
        <v>15.475999999999999</v>
      </c>
      <c r="K97" s="19">
        <f t="shared" si="2"/>
        <v>15.607999999999999</v>
      </c>
      <c r="L97" s="19">
        <f t="shared" si="3"/>
        <v>15.843500000000001</v>
      </c>
    </row>
    <row r="98" spans="1:13" x14ac:dyDescent="0.2">
      <c r="A98" s="10">
        <v>42509</v>
      </c>
      <c r="C98">
        <v>14.81</v>
      </c>
      <c r="D98">
        <v>15.08</v>
      </c>
      <c r="E98">
        <v>14.78</v>
      </c>
      <c r="F98">
        <v>14.82</v>
      </c>
      <c r="G98">
        <v>12113182</v>
      </c>
      <c r="H98">
        <v>180646352</v>
      </c>
      <c r="I98" s="19">
        <f t="shared" si="0"/>
        <v>15.081999999999999</v>
      </c>
      <c r="J98" s="19">
        <f t="shared" si="1"/>
        <v>15.309000000000001</v>
      </c>
      <c r="K98" s="19">
        <f t="shared" si="2"/>
        <v>15.533000000000001</v>
      </c>
      <c r="L98" s="19">
        <f t="shared" si="3"/>
        <v>15.805166666666667</v>
      </c>
    </row>
    <row r="99" spans="1:13" x14ac:dyDescent="0.2">
      <c r="A99" s="10">
        <v>42510</v>
      </c>
      <c r="C99">
        <v>14.72</v>
      </c>
      <c r="D99">
        <v>14.85</v>
      </c>
      <c r="E99">
        <v>14.64</v>
      </c>
      <c r="F99">
        <v>14.81</v>
      </c>
      <c r="G99">
        <v>9671760</v>
      </c>
      <c r="H99">
        <v>142671552</v>
      </c>
      <c r="I99" s="19">
        <f t="shared" si="0"/>
        <v>14.986000000000001</v>
      </c>
      <c r="J99" s="19">
        <f t="shared" si="1"/>
        <v>15.15</v>
      </c>
      <c r="K99" s="19">
        <f t="shared" si="2"/>
        <v>15.485500000000002</v>
      </c>
      <c r="L99" s="19">
        <f t="shared" si="3"/>
        <v>15.764166666666666</v>
      </c>
    </row>
    <row r="100" spans="1:13" x14ac:dyDescent="0.2">
      <c r="A100" s="10">
        <v>42513</v>
      </c>
      <c r="C100">
        <v>14.84</v>
      </c>
      <c r="D100">
        <v>15.03</v>
      </c>
      <c r="E100">
        <v>14.84</v>
      </c>
      <c r="F100">
        <v>14.91</v>
      </c>
      <c r="G100">
        <v>9421946</v>
      </c>
      <c r="H100">
        <v>140647264</v>
      </c>
      <c r="I100" s="19">
        <f t="shared" si="0"/>
        <v>14.943999999999999</v>
      </c>
      <c r="J100" s="19">
        <f t="shared" si="1"/>
        <v>15.058999999999997</v>
      </c>
      <c r="K100" s="19">
        <f t="shared" si="2"/>
        <v>15.451000000000002</v>
      </c>
      <c r="L100" s="19">
        <f t="shared" si="3"/>
        <v>15.7265</v>
      </c>
    </row>
    <row r="101" spans="1:13" x14ac:dyDescent="0.2">
      <c r="A101" s="10">
        <v>42514</v>
      </c>
      <c r="C101">
        <v>14.92</v>
      </c>
      <c r="D101">
        <v>14.98</v>
      </c>
      <c r="E101">
        <v>14.72</v>
      </c>
      <c r="F101">
        <v>14.76</v>
      </c>
      <c r="G101">
        <v>9007712</v>
      </c>
      <c r="H101">
        <v>133454704</v>
      </c>
      <c r="I101" s="19">
        <f t="shared" si="0"/>
        <v>14.89</v>
      </c>
      <c r="J101" s="19">
        <f t="shared" si="1"/>
        <v>15.035999999999998</v>
      </c>
      <c r="K101" s="19">
        <f t="shared" si="2"/>
        <v>15.412500000000003</v>
      </c>
      <c r="L101" s="19">
        <f t="shared" si="3"/>
        <v>15.718333333333332</v>
      </c>
    </row>
    <row r="102" spans="1:13" x14ac:dyDescent="0.2">
      <c r="A102" s="10">
        <v>42515</v>
      </c>
      <c r="C102">
        <v>14.86</v>
      </c>
      <c r="D102">
        <v>14.94</v>
      </c>
      <c r="E102">
        <v>14.72</v>
      </c>
      <c r="F102">
        <v>14.76</v>
      </c>
      <c r="G102">
        <v>8069561</v>
      </c>
      <c r="H102">
        <v>119728352</v>
      </c>
      <c r="I102" s="19">
        <f t="shared" si="0"/>
        <v>14.830000000000002</v>
      </c>
      <c r="J102" s="19">
        <f t="shared" si="1"/>
        <v>14.991999999999999</v>
      </c>
      <c r="K102" s="19">
        <f t="shared" si="2"/>
        <v>15.378500000000003</v>
      </c>
      <c r="L102" s="19">
        <f t="shared" si="3"/>
        <v>15.709499999999998</v>
      </c>
    </row>
    <row r="103" spans="1:13" x14ac:dyDescent="0.2">
      <c r="A103" s="10">
        <v>42516</v>
      </c>
      <c r="C103">
        <v>14.76</v>
      </c>
      <c r="D103">
        <v>14.84</v>
      </c>
      <c r="E103">
        <v>14.45</v>
      </c>
      <c r="F103">
        <v>14.74</v>
      </c>
      <c r="G103">
        <v>13282096</v>
      </c>
      <c r="H103">
        <v>193867760</v>
      </c>
      <c r="I103" s="19">
        <f t="shared" si="0"/>
        <v>14.812000000000001</v>
      </c>
      <c r="J103" s="19">
        <f t="shared" si="1"/>
        <v>14.946999999999997</v>
      </c>
      <c r="K103" s="19">
        <f t="shared" si="2"/>
        <v>15.3375</v>
      </c>
      <c r="L103" s="19">
        <f t="shared" si="3"/>
        <v>15.714499999999997</v>
      </c>
    </row>
    <row r="104" spans="1:13" x14ac:dyDescent="0.2">
      <c r="A104" s="10">
        <v>42517</v>
      </c>
      <c r="C104">
        <v>14.76</v>
      </c>
      <c r="D104">
        <v>14.77</v>
      </c>
      <c r="E104">
        <v>14.6</v>
      </c>
      <c r="F104">
        <v>14.67</v>
      </c>
      <c r="G104">
        <v>8865594</v>
      </c>
      <c r="H104">
        <v>130207056</v>
      </c>
      <c r="I104" s="19">
        <f t="shared" si="0"/>
        <v>14.795999999999998</v>
      </c>
      <c r="J104" s="19">
        <f t="shared" si="1"/>
        <v>14.891000000000002</v>
      </c>
      <c r="K104" s="19">
        <f t="shared" si="2"/>
        <v>15.293000000000001</v>
      </c>
      <c r="L104" s="19">
        <f t="shared" si="3"/>
        <v>15.714333333333332</v>
      </c>
      <c r="M104" t="s">
        <v>95</v>
      </c>
    </row>
    <row r="105" spans="1:13" x14ac:dyDescent="0.2">
      <c r="A105" s="10">
        <v>42520</v>
      </c>
      <c r="C105">
        <v>14.64</v>
      </c>
      <c r="D105">
        <v>14.69</v>
      </c>
      <c r="E105">
        <v>14.47</v>
      </c>
      <c r="F105">
        <v>14.53</v>
      </c>
      <c r="G105">
        <v>8332955</v>
      </c>
      <c r="H105">
        <v>121490576</v>
      </c>
      <c r="I105" s="19">
        <f t="shared" si="0"/>
        <v>14.768000000000001</v>
      </c>
      <c r="J105" s="19">
        <f t="shared" si="1"/>
        <v>14.856</v>
      </c>
      <c r="K105" s="19">
        <f t="shared" si="2"/>
        <v>15.247500000000002</v>
      </c>
      <c r="L105" s="19">
        <f t="shared" si="3"/>
        <v>15.699499999999997</v>
      </c>
    </row>
    <row r="106" spans="1:13" x14ac:dyDescent="0.2">
      <c r="A106" s="10">
        <v>42521</v>
      </c>
      <c r="C106">
        <v>14.59</v>
      </c>
      <c r="D106">
        <v>15.1</v>
      </c>
      <c r="E106">
        <v>14.59</v>
      </c>
      <c r="F106">
        <v>15.1</v>
      </c>
      <c r="G106">
        <v>22526725</v>
      </c>
      <c r="H106">
        <v>336608864</v>
      </c>
      <c r="I106" s="19">
        <f t="shared" si="0"/>
        <v>14.691999999999998</v>
      </c>
      <c r="J106" s="19">
        <f t="shared" si="1"/>
        <v>14.791</v>
      </c>
      <c r="K106" s="19">
        <f t="shared" si="2"/>
        <v>15.185499999999999</v>
      </c>
      <c r="L106" s="19">
        <f t="shared" si="3"/>
        <v>15.682833333333329</v>
      </c>
    </row>
    <row r="107" spans="1:13" x14ac:dyDescent="0.2">
      <c r="A107" s="10">
        <v>42522</v>
      </c>
      <c r="C107">
        <v>15.1</v>
      </c>
      <c r="D107">
        <v>15.48</v>
      </c>
      <c r="E107">
        <v>15.1</v>
      </c>
      <c r="F107">
        <v>15.21</v>
      </c>
      <c r="G107">
        <v>24407924</v>
      </c>
      <c r="H107">
        <v>374296480</v>
      </c>
      <c r="I107" s="19">
        <f t="shared" si="0"/>
        <v>14.76</v>
      </c>
      <c r="J107" s="19">
        <f t="shared" si="1"/>
        <v>14.794999999999998</v>
      </c>
      <c r="K107" s="19">
        <f t="shared" si="2"/>
        <v>15.135499999999999</v>
      </c>
      <c r="L107" s="19">
        <f t="shared" si="3"/>
        <v>15.678833333333333</v>
      </c>
      <c r="M107" t="s">
        <v>105</v>
      </c>
    </row>
    <row r="108" spans="1:13" x14ac:dyDescent="0.2">
      <c r="A108" s="10">
        <v>42523</v>
      </c>
      <c r="C108">
        <v>15.22</v>
      </c>
      <c r="D108">
        <v>15.33</v>
      </c>
      <c r="E108">
        <v>15.08</v>
      </c>
      <c r="F108">
        <v>15.19</v>
      </c>
      <c r="G108">
        <v>15480107</v>
      </c>
      <c r="H108">
        <v>234963584</v>
      </c>
      <c r="I108" s="19">
        <f t="shared" si="0"/>
        <v>14.85</v>
      </c>
      <c r="J108" s="19">
        <f t="shared" si="1"/>
        <v>14.831</v>
      </c>
      <c r="K108" s="19">
        <f t="shared" si="2"/>
        <v>15.069999999999999</v>
      </c>
      <c r="L108" s="19">
        <f t="shared" si="3"/>
        <v>15.673499999999999</v>
      </c>
    </row>
    <row r="109" spans="1:13" x14ac:dyDescent="0.2">
      <c r="A109" s="10">
        <v>42524</v>
      </c>
      <c r="C109">
        <v>15.2</v>
      </c>
      <c r="D109">
        <v>15.35</v>
      </c>
      <c r="E109">
        <v>15.11</v>
      </c>
      <c r="F109">
        <v>15.33</v>
      </c>
      <c r="G109">
        <v>18171057</v>
      </c>
      <c r="H109">
        <v>276882944</v>
      </c>
      <c r="I109" s="19">
        <f t="shared" si="0"/>
        <v>14.940000000000001</v>
      </c>
      <c r="J109" s="19">
        <f t="shared" si="1"/>
        <v>14.867999999999999</v>
      </c>
      <c r="K109" s="19">
        <f t="shared" si="2"/>
        <v>15.008999999999997</v>
      </c>
      <c r="L109" s="19">
        <f t="shared" si="3"/>
        <v>15.672500000000001</v>
      </c>
    </row>
    <row r="110" spans="1:13" x14ac:dyDescent="0.2">
      <c r="A110" s="10">
        <v>42527</v>
      </c>
      <c r="C110">
        <v>15.43</v>
      </c>
      <c r="D110">
        <v>15.43</v>
      </c>
      <c r="E110">
        <v>15.18</v>
      </c>
      <c r="F110">
        <v>15.21</v>
      </c>
      <c r="G110">
        <v>13567961</v>
      </c>
      <c r="H110">
        <v>206908832</v>
      </c>
      <c r="I110" s="19">
        <f t="shared" si="0"/>
        <v>15.071999999999999</v>
      </c>
      <c r="J110" s="19">
        <f t="shared" si="1"/>
        <v>14.920000000000002</v>
      </c>
      <c r="K110" s="19">
        <f t="shared" si="2"/>
        <v>14.989499999999996</v>
      </c>
      <c r="L110" s="19">
        <f t="shared" si="3"/>
        <v>15.679166666666669</v>
      </c>
    </row>
    <row r="111" spans="1:13" x14ac:dyDescent="0.2">
      <c r="A111" s="10">
        <v>42528</v>
      </c>
      <c r="C111">
        <v>15.2</v>
      </c>
      <c r="D111">
        <v>15.21</v>
      </c>
      <c r="E111">
        <v>15.05</v>
      </c>
      <c r="F111">
        <v>15.09</v>
      </c>
      <c r="G111">
        <v>11318395</v>
      </c>
      <c r="H111">
        <v>170870464</v>
      </c>
      <c r="I111" s="19">
        <f t="shared" si="0"/>
        <v>15.207999999999998</v>
      </c>
      <c r="J111" s="19">
        <f t="shared" si="1"/>
        <v>14.95</v>
      </c>
      <c r="K111" s="19">
        <f t="shared" si="2"/>
        <v>14.992999999999999</v>
      </c>
      <c r="L111" s="19">
        <f t="shared" si="3"/>
        <v>15.686</v>
      </c>
    </row>
    <row r="112" spans="1:13" x14ac:dyDescent="0.2">
      <c r="A112" s="10">
        <v>42529</v>
      </c>
      <c r="C112">
        <v>15.12</v>
      </c>
      <c r="D112">
        <v>15.15</v>
      </c>
      <c r="E112">
        <v>14.88</v>
      </c>
      <c r="F112">
        <v>14.96</v>
      </c>
      <c r="G112">
        <v>12776265</v>
      </c>
      <c r="H112">
        <v>191616576</v>
      </c>
      <c r="I112" s="19">
        <f t="shared" si="0"/>
        <v>15.206</v>
      </c>
      <c r="J112" s="19">
        <f t="shared" si="1"/>
        <v>14.982999999999999</v>
      </c>
      <c r="K112" s="19">
        <f t="shared" si="2"/>
        <v>14.987499999999997</v>
      </c>
      <c r="L112" s="19">
        <f t="shared" si="3"/>
        <v>15.694333333333333</v>
      </c>
    </row>
    <row r="113" spans="1:13" x14ac:dyDescent="0.2">
      <c r="A113" s="10">
        <v>42534</v>
      </c>
      <c r="C113">
        <v>14.7</v>
      </c>
      <c r="D113">
        <v>14.83</v>
      </c>
      <c r="E113">
        <v>14.4</v>
      </c>
      <c r="F113">
        <v>14.4</v>
      </c>
      <c r="G113">
        <v>18389657</v>
      </c>
      <c r="H113">
        <v>269260384</v>
      </c>
      <c r="I113" s="19">
        <f t="shared" si="0"/>
        <v>15.156000000000001</v>
      </c>
      <c r="J113" s="19">
        <f t="shared" si="1"/>
        <v>15.003</v>
      </c>
      <c r="K113" s="19">
        <f t="shared" si="2"/>
        <v>14.974999999999998</v>
      </c>
      <c r="L113" s="19">
        <f t="shared" si="3"/>
        <v>15.690500000000002</v>
      </c>
      <c r="M113" t="s">
        <v>96</v>
      </c>
    </row>
    <row r="114" spans="1:13" x14ac:dyDescent="0.2">
      <c r="A114" s="10">
        <v>42535</v>
      </c>
      <c r="C114">
        <v>14.41</v>
      </c>
      <c r="D114">
        <v>14.7</v>
      </c>
      <c r="E114">
        <v>14.41</v>
      </c>
      <c r="F114">
        <v>14.66</v>
      </c>
      <c r="G114">
        <v>13012403</v>
      </c>
      <c r="H114">
        <v>189333552</v>
      </c>
      <c r="I114" s="19">
        <f t="shared" si="0"/>
        <v>14.997999999999999</v>
      </c>
      <c r="J114" s="19">
        <f t="shared" si="1"/>
        <v>14.969000000000003</v>
      </c>
      <c r="K114" s="19">
        <f t="shared" si="2"/>
        <v>14.929999999999998</v>
      </c>
      <c r="L114" s="19">
        <f t="shared" si="3"/>
        <v>15.677166666666666</v>
      </c>
    </row>
    <row r="115" spans="1:13" x14ac:dyDescent="0.2">
      <c r="A115" s="10">
        <v>42536</v>
      </c>
      <c r="C115">
        <v>14.46</v>
      </c>
      <c r="D115">
        <v>14.98</v>
      </c>
      <c r="E115">
        <v>14.43</v>
      </c>
      <c r="F115">
        <v>14.87</v>
      </c>
      <c r="G115">
        <v>19563017</v>
      </c>
      <c r="H115">
        <v>289242944</v>
      </c>
      <c r="I115" s="19">
        <f t="shared" si="0"/>
        <v>14.864000000000001</v>
      </c>
      <c r="J115" s="19">
        <f t="shared" si="1"/>
        <v>14.968</v>
      </c>
      <c r="K115" s="19">
        <f t="shared" si="2"/>
        <v>14.912000000000001</v>
      </c>
      <c r="L115" s="19">
        <f t="shared" si="3"/>
        <v>15.673166666666667</v>
      </c>
    </row>
    <row r="116" spans="1:13" x14ac:dyDescent="0.2">
      <c r="A116" s="10">
        <v>42537</v>
      </c>
      <c r="C116">
        <v>14.84</v>
      </c>
      <c r="D116">
        <v>14.9</v>
      </c>
      <c r="E116">
        <v>14.63</v>
      </c>
      <c r="F116">
        <v>14.66</v>
      </c>
      <c r="G116">
        <v>12620637</v>
      </c>
      <c r="H116">
        <v>185953488</v>
      </c>
      <c r="I116" s="19">
        <f t="shared" si="0"/>
        <v>14.796000000000001</v>
      </c>
      <c r="J116" s="19">
        <f t="shared" si="1"/>
        <v>15.002000000000001</v>
      </c>
      <c r="K116" s="19">
        <f t="shared" si="2"/>
        <v>14.896500000000003</v>
      </c>
      <c r="L116" s="19">
        <f t="shared" si="3"/>
        <v>15.663500000000001</v>
      </c>
    </row>
    <row r="117" spans="1:13" x14ac:dyDescent="0.2">
      <c r="A117" s="10">
        <v>42538</v>
      </c>
      <c r="C117">
        <v>14.66</v>
      </c>
      <c r="D117">
        <v>14.88</v>
      </c>
      <c r="E117">
        <v>14.64</v>
      </c>
      <c r="F117">
        <v>14.75</v>
      </c>
      <c r="G117">
        <v>11858659</v>
      </c>
      <c r="H117">
        <v>174930592</v>
      </c>
      <c r="I117" s="19">
        <f t="shared" si="0"/>
        <v>14.709999999999999</v>
      </c>
      <c r="J117" s="19">
        <f t="shared" si="1"/>
        <v>14.958000000000002</v>
      </c>
      <c r="K117" s="19">
        <f t="shared" si="2"/>
        <v>14.876500000000004</v>
      </c>
      <c r="L117" s="19">
        <f t="shared" si="3"/>
        <v>15.642999999999999</v>
      </c>
    </row>
    <row r="118" spans="1:13" x14ac:dyDescent="0.2">
      <c r="A118" s="10">
        <v>42541</v>
      </c>
      <c r="C118">
        <v>14.75</v>
      </c>
      <c r="D118">
        <v>14.83</v>
      </c>
      <c r="E118">
        <v>14.66</v>
      </c>
      <c r="F118">
        <v>14.8</v>
      </c>
      <c r="G118">
        <v>9744145</v>
      </c>
      <c r="H118">
        <v>143670576</v>
      </c>
      <c r="I118" s="19">
        <f t="shared" si="0"/>
        <v>14.668000000000001</v>
      </c>
      <c r="J118" s="19">
        <f t="shared" si="1"/>
        <v>14.912000000000001</v>
      </c>
      <c r="K118" s="19">
        <f t="shared" si="2"/>
        <v>14.871500000000003</v>
      </c>
      <c r="L118" s="19">
        <f t="shared" si="3"/>
        <v>15.619166666666667</v>
      </c>
    </row>
    <row r="119" spans="1:13" x14ac:dyDescent="0.2">
      <c r="A119" s="10">
        <v>42542</v>
      </c>
      <c r="C119">
        <v>14.85</v>
      </c>
      <c r="D119">
        <v>14.94</v>
      </c>
      <c r="E119">
        <v>14.67</v>
      </c>
      <c r="F119">
        <v>14.69</v>
      </c>
      <c r="G119">
        <v>15375648</v>
      </c>
      <c r="H119">
        <v>227557952</v>
      </c>
      <c r="I119" s="19">
        <f t="shared" si="0"/>
        <v>14.747999999999999</v>
      </c>
      <c r="J119" s="19">
        <f t="shared" si="1"/>
        <v>14.873000000000001</v>
      </c>
      <c r="K119" s="19">
        <f t="shared" si="2"/>
        <v>14.870500000000002</v>
      </c>
      <c r="L119" s="19">
        <f t="shared" si="3"/>
        <v>15.588500000000002</v>
      </c>
    </row>
    <row r="120" spans="1:13" x14ac:dyDescent="0.2">
      <c r="A120" s="10">
        <v>42543</v>
      </c>
      <c r="C120">
        <v>14.92</v>
      </c>
      <c r="D120">
        <v>15.39</v>
      </c>
      <c r="E120">
        <v>14.92</v>
      </c>
      <c r="F120">
        <v>15.28</v>
      </c>
      <c r="G120">
        <v>43432672</v>
      </c>
      <c r="H120">
        <v>661831424</v>
      </c>
      <c r="I120" s="19">
        <f t="shared" si="0"/>
        <v>14.754</v>
      </c>
      <c r="J120" s="19">
        <f t="shared" si="1"/>
        <v>14.809000000000001</v>
      </c>
      <c r="K120" s="19">
        <f t="shared" si="2"/>
        <v>14.864500000000003</v>
      </c>
      <c r="L120" s="19">
        <f t="shared" si="3"/>
        <v>15.557333333333334</v>
      </c>
      <c r="M120" t="s">
        <v>97</v>
      </c>
    </row>
    <row r="121" spans="1:13" x14ac:dyDescent="0.2">
      <c r="A121" s="10">
        <v>42544</v>
      </c>
      <c r="C121">
        <v>15.2</v>
      </c>
      <c r="D121">
        <v>15.28</v>
      </c>
      <c r="E121">
        <v>15</v>
      </c>
      <c r="F121">
        <v>15.07</v>
      </c>
      <c r="G121">
        <v>23636530</v>
      </c>
      <c r="H121">
        <v>356666528</v>
      </c>
      <c r="I121" s="19">
        <f t="shared" si="0"/>
        <v>14.835999999999999</v>
      </c>
      <c r="J121" s="19">
        <f t="shared" si="1"/>
        <v>14.815999999999999</v>
      </c>
      <c r="K121" s="19">
        <f t="shared" si="2"/>
        <v>14.882999999999999</v>
      </c>
      <c r="L121" s="19">
        <f t="shared" si="3"/>
        <v>15.544499999999999</v>
      </c>
      <c r="M121" t="s">
        <v>98</v>
      </c>
    </row>
    <row r="122" spans="1:13" x14ac:dyDescent="0.2">
      <c r="A122" s="10">
        <v>42545</v>
      </c>
      <c r="C122">
        <v>15.03</v>
      </c>
      <c r="D122">
        <v>15.15</v>
      </c>
      <c r="E122">
        <v>14.51</v>
      </c>
      <c r="F122">
        <v>14.7</v>
      </c>
      <c r="G122">
        <v>25919193</v>
      </c>
      <c r="H122">
        <v>383935520</v>
      </c>
      <c r="I122" s="19">
        <f t="shared" si="0"/>
        <v>14.918000000000001</v>
      </c>
      <c r="J122" s="19">
        <f t="shared" si="1"/>
        <v>14.813999999999998</v>
      </c>
      <c r="K122" s="19">
        <f t="shared" si="2"/>
        <v>14.898499999999999</v>
      </c>
      <c r="L122" s="19">
        <f t="shared" si="3"/>
        <v>15.521666666666667</v>
      </c>
      <c r="M122" t="s">
        <v>99</v>
      </c>
    </row>
    <row r="123" spans="1:13" x14ac:dyDescent="0.2">
      <c r="A123" s="10">
        <v>42548</v>
      </c>
      <c r="C123">
        <v>14.61</v>
      </c>
      <c r="D123">
        <v>15.03</v>
      </c>
      <c r="E123">
        <v>14.59</v>
      </c>
      <c r="F123">
        <v>15</v>
      </c>
      <c r="G123">
        <v>16990485</v>
      </c>
      <c r="H123">
        <v>252368896</v>
      </c>
      <c r="I123" s="19">
        <f t="shared" si="0"/>
        <v>14.908000000000001</v>
      </c>
      <c r="J123" s="19">
        <f t="shared" si="1"/>
        <v>14.788</v>
      </c>
      <c r="K123" s="19">
        <f t="shared" si="2"/>
        <v>14.895499999999998</v>
      </c>
      <c r="L123" s="19">
        <f t="shared" si="3"/>
        <v>15.496666666666668</v>
      </c>
    </row>
    <row r="124" spans="1:13" x14ac:dyDescent="0.2">
      <c r="A124" s="10">
        <v>42549</v>
      </c>
      <c r="C124">
        <v>14.97</v>
      </c>
      <c r="D124">
        <v>15.34</v>
      </c>
      <c r="E124">
        <v>14.82</v>
      </c>
      <c r="F124">
        <v>15.25</v>
      </c>
      <c r="G124">
        <v>28389807</v>
      </c>
      <c r="H124">
        <v>428143136</v>
      </c>
      <c r="I124" s="19">
        <f t="shared" si="0"/>
        <v>14.947999999999999</v>
      </c>
      <c r="J124" s="19">
        <f t="shared" si="1"/>
        <v>14.847999999999999</v>
      </c>
      <c r="K124" s="19">
        <f t="shared" si="2"/>
        <v>14.9085</v>
      </c>
      <c r="L124" s="19">
        <f t="shared" si="3"/>
        <v>15.478333333333335</v>
      </c>
    </row>
    <row r="125" spans="1:13" x14ac:dyDescent="0.2">
      <c r="A125" s="10">
        <v>42550</v>
      </c>
      <c r="C125">
        <v>15.25</v>
      </c>
      <c r="D125">
        <v>15.34</v>
      </c>
      <c r="E125">
        <v>15.08</v>
      </c>
      <c r="F125">
        <v>15.13</v>
      </c>
      <c r="G125">
        <v>19582390</v>
      </c>
      <c r="H125">
        <v>297112992</v>
      </c>
      <c r="I125" s="19">
        <f t="shared" si="0"/>
        <v>15.059999999999999</v>
      </c>
      <c r="J125" s="19">
        <f t="shared" si="1"/>
        <v>14.907</v>
      </c>
      <c r="K125" s="19">
        <f t="shared" si="2"/>
        <v>14.9375</v>
      </c>
      <c r="L125" s="19">
        <f t="shared" si="3"/>
        <v>15.456666666666669</v>
      </c>
    </row>
    <row r="126" spans="1:13" x14ac:dyDescent="0.2">
      <c r="A126" s="10">
        <v>42551</v>
      </c>
      <c r="C126">
        <v>15.18</v>
      </c>
      <c r="D126">
        <v>15.23</v>
      </c>
      <c r="E126">
        <v>15.02</v>
      </c>
      <c r="F126">
        <v>15.13</v>
      </c>
      <c r="G126">
        <v>19212371</v>
      </c>
      <c r="H126">
        <v>290712000</v>
      </c>
      <c r="I126" s="19">
        <f t="shared" si="0"/>
        <v>15.029999999999998</v>
      </c>
      <c r="J126" s="19">
        <f t="shared" si="1"/>
        <v>14.932999999999998</v>
      </c>
      <c r="K126" s="19">
        <f t="shared" si="2"/>
        <v>14.967500000000001</v>
      </c>
      <c r="L126" s="19">
        <f t="shared" si="3"/>
        <v>15.435166666666669</v>
      </c>
    </row>
    <row r="127" spans="1:13" x14ac:dyDescent="0.2">
      <c r="A127" s="10">
        <v>42552</v>
      </c>
      <c r="C127">
        <v>15.14</v>
      </c>
      <c r="D127">
        <v>15.18</v>
      </c>
      <c r="E127">
        <v>15.05</v>
      </c>
      <c r="F127">
        <v>15.1</v>
      </c>
      <c r="G127">
        <v>11520025</v>
      </c>
      <c r="H127">
        <v>174190080</v>
      </c>
      <c r="I127" s="19">
        <f t="shared" si="0"/>
        <v>15.042000000000002</v>
      </c>
      <c r="J127" s="19">
        <f t="shared" si="1"/>
        <v>14.98</v>
      </c>
      <c r="K127" s="19">
        <f t="shared" si="2"/>
        <v>14.968999999999999</v>
      </c>
      <c r="L127" s="19">
        <f t="shared" si="3"/>
        <v>15.415333333333335</v>
      </c>
      <c r="M127" s="3" t="s">
        <v>106</v>
      </c>
    </row>
    <row r="128" spans="1:13" x14ac:dyDescent="0.2">
      <c r="A128" s="10">
        <v>42555</v>
      </c>
      <c r="C128">
        <v>15.02</v>
      </c>
      <c r="D128">
        <v>15.32</v>
      </c>
      <c r="E128">
        <v>14.98</v>
      </c>
      <c r="F128">
        <v>15.26</v>
      </c>
      <c r="G128">
        <v>22623588</v>
      </c>
      <c r="H128">
        <v>344149952</v>
      </c>
      <c r="I128" s="19">
        <f t="shared" si="0"/>
        <v>15.122</v>
      </c>
      <c r="J128" s="19">
        <f t="shared" si="1"/>
        <v>15.015000000000001</v>
      </c>
      <c r="K128" s="19">
        <f t="shared" si="2"/>
        <v>14.963500000000002</v>
      </c>
      <c r="L128" s="19">
        <f t="shared" si="3"/>
        <v>15.388666666666669</v>
      </c>
    </row>
    <row r="129" spans="1:13" x14ac:dyDescent="0.2">
      <c r="A129" s="10">
        <v>42556</v>
      </c>
      <c r="C129">
        <v>15.31</v>
      </c>
      <c r="D129">
        <v>15.4</v>
      </c>
      <c r="E129">
        <v>15.22</v>
      </c>
      <c r="F129">
        <v>15.37</v>
      </c>
      <c r="G129">
        <v>23968435</v>
      </c>
      <c r="H129">
        <v>367072448</v>
      </c>
      <c r="I129" s="19">
        <f t="shared" si="0"/>
        <v>15.174000000000001</v>
      </c>
      <c r="J129" s="19">
        <f t="shared" si="1"/>
        <v>15.060999999999998</v>
      </c>
      <c r="K129" s="19">
        <f t="shared" si="2"/>
        <v>14.967000000000002</v>
      </c>
      <c r="L129" s="19">
        <f t="shared" si="3"/>
        <v>15.363833333333337</v>
      </c>
    </row>
    <row r="130" spans="1:13" x14ac:dyDescent="0.2">
      <c r="A130" s="10">
        <v>42557</v>
      </c>
      <c r="C130">
        <v>15.35</v>
      </c>
      <c r="D130">
        <v>15.64</v>
      </c>
      <c r="E130">
        <v>15.3</v>
      </c>
      <c r="F130">
        <v>15.45</v>
      </c>
      <c r="G130">
        <v>32027955</v>
      </c>
      <c r="H130">
        <v>495934528</v>
      </c>
      <c r="I130" s="19">
        <f t="shared" si="0"/>
        <v>15.197999999999999</v>
      </c>
      <c r="J130" s="19">
        <f t="shared" si="1"/>
        <v>15.129</v>
      </c>
      <c r="K130" s="19">
        <f t="shared" si="2"/>
        <v>14.968999999999999</v>
      </c>
      <c r="L130" s="19">
        <f t="shared" si="3"/>
        <v>15.34566666666667</v>
      </c>
      <c r="M130" s="12" t="s">
        <v>100</v>
      </c>
    </row>
    <row r="131" spans="1:13" x14ac:dyDescent="0.2">
      <c r="A131" s="10">
        <v>42558</v>
      </c>
      <c r="C131">
        <v>15.46</v>
      </c>
      <c r="D131">
        <v>15.49</v>
      </c>
      <c r="E131">
        <v>15.28</v>
      </c>
      <c r="F131">
        <v>15.35</v>
      </c>
      <c r="G131">
        <v>19007966</v>
      </c>
      <c r="H131">
        <v>292256384</v>
      </c>
      <c r="I131" s="19">
        <f t="shared" ref="I131:I170" si="4">SUM(F126:F130)/5</f>
        <v>15.262</v>
      </c>
      <c r="J131" s="19">
        <f t="shared" ref="J131:J170" si="5">SUM(F121:F130)/10</f>
        <v>15.145999999999997</v>
      </c>
      <c r="K131" s="19">
        <f t="shared" ref="K131:K170" si="6">SUM(F111:F130)/20</f>
        <v>14.980999999999998</v>
      </c>
      <c r="L131" s="19">
        <f t="shared" ref="L131:L170" si="7">SUM(F71:F130)/60</f>
        <v>15.332833333333337</v>
      </c>
    </row>
    <row r="132" spans="1:13" x14ac:dyDescent="0.2">
      <c r="A132" s="10">
        <v>42559</v>
      </c>
      <c r="C132">
        <v>15.4</v>
      </c>
      <c r="D132">
        <v>15.4</v>
      </c>
      <c r="E132">
        <v>15.22</v>
      </c>
      <c r="F132">
        <v>15.27</v>
      </c>
      <c r="G132">
        <v>14718995</v>
      </c>
      <c r="H132">
        <v>224912864</v>
      </c>
      <c r="I132" s="19">
        <f t="shared" si="4"/>
        <v>15.305999999999997</v>
      </c>
      <c r="J132" s="19">
        <f t="shared" si="5"/>
        <v>15.174000000000001</v>
      </c>
      <c r="K132" s="19">
        <f t="shared" si="6"/>
        <v>14.993999999999996</v>
      </c>
      <c r="L132" s="19">
        <f t="shared" si="7"/>
        <v>15.314833333333338</v>
      </c>
    </row>
    <row r="133" spans="1:13" x14ac:dyDescent="0.2">
      <c r="A133" s="10">
        <v>42562</v>
      </c>
      <c r="C133">
        <v>15.32</v>
      </c>
      <c r="D133">
        <v>15.52</v>
      </c>
      <c r="E133">
        <v>15.22</v>
      </c>
      <c r="F133">
        <v>15.24</v>
      </c>
      <c r="G133">
        <v>17101406</v>
      </c>
      <c r="H133">
        <v>262610864</v>
      </c>
      <c r="I133" s="19">
        <f t="shared" si="4"/>
        <v>15.34</v>
      </c>
      <c r="J133" s="19">
        <f t="shared" si="5"/>
        <v>15.231000000000003</v>
      </c>
      <c r="K133" s="19">
        <f t="shared" si="6"/>
        <v>15.009499999999999</v>
      </c>
      <c r="L133" s="19">
        <f t="shared" si="7"/>
        <v>15.294000000000006</v>
      </c>
    </row>
    <row r="134" spans="1:13" x14ac:dyDescent="0.2">
      <c r="A134" s="10">
        <v>42563</v>
      </c>
      <c r="C134">
        <v>15.24</v>
      </c>
      <c r="D134">
        <v>15.88</v>
      </c>
      <c r="E134">
        <v>15.18</v>
      </c>
      <c r="F134">
        <v>15.8</v>
      </c>
      <c r="G134">
        <v>36333690</v>
      </c>
      <c r="H134">
        <v>563899520</v>
      </c>
      <c r="I134" s="19">
        <f t="shared" si="4"/>
        <v>15.335999999999999</v>
      </c>
      <c r="J134" s="19">
        <f t="shared" si="5"/>
        <v>15.255000000000001</v>
      </c>
      <c r="K134" s="19">
        <f t="shared" si="6"/>
        <v>15.051499999999999</v>
      </c>
      <c r="L134" s="19">
        <f t="shared" si="7"/>
        <v>15.269500000000004</v>
      </c>
    </row>
    <row r="135" spans="1:13" x14ac:dyDescent="0.2">
      <c r="A135" s="10">
        <v>42564</v>
      </c>
      <c r="C135">
        <v>15.83</v>
      </c>
      <c r="D135">
        <v>16.239999999999998</v>
      </c>
      <c r="E135">
        <v>15.8</v>
      </c>
      <c r="F135">
        <v>15.83</v>
      </c>
      <c r="G135">
        <v>53916029</v>
      </c>
      <c r="H135">
        <v>865545536</v>
      </c>
      <c r="I135" s="19">
        <f t="shared" si="4"/>
        <v>15.422000000000001</v>
      </c>
      <c r="J135" s="19">
        <f t="shared" si="5"/>
        <v>15.309999999999999</v>
      </c>
      <c r="K135" s="19">
        <f t="shared" si="6"/>
        <v>15.108499999999998</v>
      </c>
      <c r="L135" s="19">
        <f t="shared" si="7"/>
        <v>15.253666666666671</v>
      </c>
    </row>
    <row r="136" spans="1:13" x14ac:dyDescent="0.2">
      <c r="A136" s="10">
        <v>42565</v>
      </c>
      <c r="C136">
        <v>15.83</v>
      </c>
      <c r="D136">
        <v>15.98</v>
      </c>
      <c r="E136">
        <v>15.76</v>
      </c>
      <c r="F136">
        <v>15.84</v>
      </c>
      <c r="G136">
        <v>18047083</v>
      </c>
      <c r="H136">
        <v>286111456</v>
      </c>
      <c r="I136" s="19">
        <f t="shared" si="4"/>
        <v>15.497999999999999</v>
      </c>
      <c r="J136" s="19">
        <f t="shared" si="5"/>
        <v>15.38</v>
      </c>
      <c r="K136" s="19">
        <f t="shared" si="6"/>
        <v>15.156499999999998</v>
      </c>
      <c r="L136" s="19">
        <f t="shared" si="7"/>
        <v>15.240833333333336</v>
      </c>
    </row>
    <row r="137" spans="1:13" x14ac:dyDescent="0.2">
      <c r="A137" s="10">
        <v>42566</v>
      </c>
      <c r="C137">
        <v>15.88</v>
      </c>
      <c r="D137">
        <v>16.16</v>
      </c>
      <c r="E137">
        <v>15.81</v>
      </c>
      <c r="F137">
        <v>15.93</v>
      </c>
      <c r="G137">
        <v>17938706</v>
      </c>
      <c r="H137">
        <v>286689184</v>
      </c>
      <c r="I137" s="19">
        <f t="shared" si="4"/>
        <v>15.596</v>
      </c>
      <c r="J137" s="19">
        <f t="shared" si="5"/>
        <v>15.450999999999999</v>
      </c>
      <c r="K137" s="19">
        <f t="shared" si="6"/>
        <v>15.215499999999997</v>
      </c>
      <c r="L137" s="19">
        <f t="shared" si="7"/>
        <v>15.233333333333336</v>
      </c>
    </row>
    <row r="138" spans="1:13" x14ac:dyDescent="0.2">
      <c r="A138" s="10">
        <v>42569</v>
      </c>
      <c r="C138">
        <v>15.92</v>
      </c>
      <c r="D138">
        <v>16.07</v>
      </c>
      <c r="E138">
        <v>15.65</v>
      </c>
      <c r="F138">
        <v>15.99</v>
      </c>
      <c r="G138">
        <v>25296111</v>
      </c>
      <c r="H138">
        <v>401927360</v>
      </c>
      <c r="I138" s="19">
        <f t="shared" si="4"/>
        <v>15.727999999999998</v>
      </c>
      <c r="J138" s="19">
        <f t="shared" si="5"/>
        <v>15.534000000000001</v>
      </c>
      <c r="K138" s="19">
        <f t="shared" si="6"/>
        <v>15.274499999999998</v>
      </c>
      <c r="L138" s="19">
        <f t="shared" si="7"/>
        <v>15.226333333333335</v>
      </c>
    </row>
    <row r="139" spans="1:13" x14ac:dyDescent="0.2">
      <c r="A139" s="10">
        <v>42570</v>
      </c>
      <c r="C139">
        <v>16.02</v>
      </c>
      <c r="D139">
        <v>16.27</v>
      </c>
      <c r="E139">
        <v>15.85</v>
      </c>
      <c r="F139">
        <v>16.059999999999999</v>
      </c>
      <c r="G139">
        <v>25937245</v>
      </c>
      <c r="H139">
        <v>416809952</v>
      </c>
      <c r="I139" s="19">
        <f t="shared" si="4"/>
        <v>15.878</v>
      </c>
      <c r="J139" s="19">
        <f t="shared" si="5"/>
        <v>15.606999999999999</v>
      </c>
      <c r="K139" s="19">
        <f t="shared" si="6"/>
        <v>15.334</v>
      </c>
      <c r="L139" s="19">
        <f t="shared" si="7"/>
        <v>15.23</v>
      </c>
    </row>
    <row r="140" spans="1:13" x14ac:dyDescent="0.2">
      <c r="A140" s="10">
        <v>42571</v>
      </c>
      <c r="C140">
        <v>16.11</v>
      </c>
      <c r="D140">
        <v>16.2</v>
      </c>
      <c r="E140">
        <v>15.87</v>
      </c>
      <c r="F140">
        <v>15.9</v>
      </c>
      <c r="G140">
        <v>15704001</v>
      </c>
      <c r="H140">
        <v>250638032</v>
      </c>
      <c r="I140" s="19">
        <f t="shared" si="4"/>
        <v>15.930000000000001</v>
      </c>
      <c r="J140" s="19">
        <f t="shared" si="5"/>
        <v>15.676000000000002</v>
      </c>
      <c r="K140" s="19">
        <f t="shared" si="6"/>
        <v>15.4025</v>
      </c>
      <c r="L140" s="19">
        <f t="shared" si="7"/>
        <v>15.239333333333333</v>
      </c>
    </row>
    <row r="141" spans="1:13" x14ac:dyDescent="0.2">
      <c r="A141" s="10">
        <v>42572</v>
      </c>
      <c r="C141">
        <v>15.94</v>
      </c>
      <c r="D141">
        <v>16.04</v>
      </c>
      <c r="E141">
        <v>15.78</v>
      </c>
      <c r="F141">
        <v>15.8</v>
      </c>
      <c r="G141">
        <v>17545711</v>
      </c>
      <c r="H141">
        <v>278982272</v>
      </c>
      <c r="I141" s="19">
        <f t="shared" si="4"/>
        <v>15.943999999999999</v>
      </c>
      <c r="J141" s="19">
        <f t="shared" si="5"/>
        <v>15.720999999999998</v>
      </c>
      <c r="K141" s="19">
        <f t="shared" si="6"/>
        <v>15.4335</v>
      </c>
      <c r="L141" s="19">
        <f t="shared" si="7"/>
        <v>15.242999999999999</v>
      </c>
    </row>
    <row r="142" spans="1:13" x14ac:dyDescent="0.2">
      <c r="A142" s="10">
        <v>42573</v>
      </c>
      <c r="C142">
        <v>15.8</v>
      </c>
      <c r="D142">
        <v>15.86</v>
      </c>
      <c r="E142">
        <v>15.48</v>
      </c>
      <c r="F142">
        <v>15.65</v>
      </c>
      <c r="G142">
        <v>16577403</v>
      </c>
      <c r="H142">
        <v>259721696</v>
      </c>
      <c r="I142" s="19">
        <f t="shared" si="4"/>
        <v>15.936000000000002</v>
      </c>
      <c r="J142" s="19">
        <f t="shared" si="5"/>
        <v>15.766</v>
      </c>
      <c r="K142" s="19">
        <f t="shared" si="6"/>
        <v>15.470000000000002</v>
      </c>
      <c r="L142" s="19">
        <f t="shared" si="7"/>
        <v>15.248999999999999</v>
      </c>
    </row>
    <row r="143" spans="1:13" x14ac:dyDescent="0.2">
      <c r="A143" s="10">
        <v>42576</v>
      </c>
      <c r="C143">
        <v>15.61</v>
      </c>
      <c r="D143">
        <v>15.95</v>
      </c>
      <c r="E143">
        <v>15.6</v>
      </c>
      <c r="F143">
        <v>15.92</v>
      </c>
      <c r="G143">
        <v>17137955</v>
      </c>
      <c r="H143">
        <v>270113600</v>
      </c>
      <c r="I143" s="19">
        <f t="shared" si="4"/>
        <v>15.88</v>
      </c>
      <c r="J143" s="19">
        <f t="shared" si="5"/>
        <v>15.803999999999998</v>
      </c>
      <c r="K143" s="19">
        <f t="shared" si="6"/>
        <v>15.517500000000002</v>
      </c>
      <c r="L143" s="19">
        <f t="shared" si="7"/>
        <v>15.250166666666665</v>
      </c>
    </row>
    <row r="144" spans="1:13" x14ac:dyDescent="0.2">
      <c r="A144" s="10">
        <v>42577</v>
      </c>
      <c r="C144">
        <v>15.93</v>
      </c>
      <c r="D144">
        <v>16.05</v>
      </c>
      <c r="E144">
        <v>15.81</v>
      </c>
      <c r="F144">
        <v>16.02</v>
      </c>
      <c r="G144">
        <v>18196931</v>
      </c>
      <c r="H144">
        <v>290023584</v>
      </c>
      <c r="I144" s="19">
        <f t="shared" si="4"/>
        <v>15.866</v>
      </c>
      <c r="J144" s="19">
        <f t="shared" si="5"/>
        <v>15.872</v>
      </c>
      <c r="K144" s="19">
        <f t="shared" si="6"/>
        <v>15.563500000000001</v>
      </c>
      <c r="L144" s="19">
        <f t="shared" si="7"/>
        <v>15.254999999999999</v>
      </c>
    </row>
    <row r="145" spans="1:13" x14ac:dyDescent="0.2">
      <c r="A145" s="10">
        <v>42578</v>
      </c>
      <c r="C145">
        <v>16.010000000000002</v>
      </c>
      <c r="D145">
        <v>16.03</v>
      </c>
      <c r="E145">
        <v>15.01</v>
      </c>
      <c r="F145">
        <v>15.31</v>
      </c>
      <c r="G145">
        <v>28195760</v>
      </c>
      <c r="H145">
        <v>437822976</v>
      </c>
      <c r="I145" s="19">
        <f t="shared" si="4"/>
        <v>15.858000000000001</v>
      </c>
      <c r="J145" s="19">
        <f t="shared" si="5"/>
        <v>15.894000000000002</v>
      </c>
      <c r="K145" s="19">
        <f t="shared" si="6"/>
        <v>15.602</v>
      </c>
      <c r="L145" s="19">
        <f t="shared" si="7"/>
        <v>15.262333333333332</v>
      </c>
    </row>
    <row r="146" spans="1:13" x14ac:dyDescent="0.2">
      <c r="A146" s="10">
        <v>42579</v>
      </c>
      <c r="C146">
        <v>15.34</v>
      </c>
      <c r="D146">
        <v>15.65</v>
      </c>
      <c r="E146">
        <v>15.3</v>
      </c>
      <c r="F146">
        <v>15.51</v>
      </c>
      <c r="G146">
        <v>18322344</v>
      </c>
      <c r="H146">
        <v>283868512</v>
      </c>
      <c r="I146" s="19">
        <f t="shared" si="4"/>
        <v>15.74</v>
      </c>
      <c r="J146" s="19">
        <f t="shared" si="5"/>
        <v>15.842000000000002</v>
      </c>
      <c r="K146" s="19">
        <f t="shared" si="6"/>
        <v>15.611000000000001</v>
      </c>
      <c r="L146" s="19">
        <f t="shared" si="7"/>
        <v>15.254666666666663</v>
      </c>
    </row>
    <row r="147" spans="1:13" x14ac:dyDescent="0.2">
      <c r="A147" s="10">
        <v>42580</v>
      </c>
      <c r="C147">
        <v>15.46</v>
      </c>
      <c r="D147">
        <v>15.78</v>
      </c>
      <c r="E147">
        <v>15.46</v>
      </c>
      <c r="F147">
        <v>15.56</v>
      </c>
      <c r="G147">
        <v>17772079</v>
      </c>
      <c r="H147">
        <v>278154080</v>
      </c>
      <c r="I147" s="19">
        <f t="shared" si="4"/>
        <v>15.682000000000002</v>
      </c>
      <c r="J147" s="19">
        <f t="shared" si="5"/>
        <v>15.809000000000001</v>
      </c>
      <c r="K147" s="19">
        <f t="shared" si="6"/>
        <v>15.63</v>
      </c>
      <c r="L147" s="19">
        <f t="shared" si="7"/>
        <v>15.244833333333329</v>
      </c>
    </row>
    <row r="148" spans="1:13" x14ac:dyDescent="0.2">
      <c r="A148" s="10">
        <v>42583</v>
      </c>
      <c r="C148">
        <v>15.62</v>
      </c>
      <c r="D148">
        <v>15.62</v>
      </c>
      <c r="E148">
        <v>15.22</v>
      </c>
      <c r="F148">
        <v>15.31</v>
      </c>
      <c r="G148">
        <v>12727305</v>
      </c>
      <c r="H148">
        <v>195560320</v>
      </c>
      <c r="I148" s="19">
        <f t="shared" si="4"/>
        <v>15.663999999999998</v>
      </c>
      <c r="J148" s="19">
        <f t="shared" si="5"/>
        <v>15.772</v>
      </c>
      <c r="K148" s="19">
        <f t="shared" si="6"/>
        <v>15.653</v>
      </c>
      <c r="L148" s="19">
        <f t="shared" si="7"/>
        <v>15.228833333333329</v>
      </c>
      <c r="M148" s="3" t="s">
        <v>107</v>
      </c>
    </row>
    <row r="149" spans="1:13" x14ac:dyDescent="0.2">
      <c r="A149" s="10">
        <v>42584</v>
      </c>
      <c r="C149">
        <v>15.35</v>
      </c>
      <c r="D149">
        <v>15.4</v>
      </c>
      <c r="E149">
        <v>15.28</v>
      </c>
      <c r="F149">
        <v>15.38</v>
      </c>
      <c r="G149">
        <v>7658668</v>
      </c>
      <c r="H149">
        <v>117424488</v>
      </c>
      <c r="I149" s="19">
        <f t="shared" si="4"/>
        <v>15.541999999999998</v>
      </c>
      <c r="J149" s="19">
        <f t="shared" si="5"/>
        <v>15.703999999999999</v>
      </c>
      <c r="K149" s="19">
        <f t="shared" si="6"/>
        <v>15.6555</v>
      </c>
      <c r="L149" s="19">
        <f t="shared" si="7"/>
        <v>15.210499999999993</v>
      </c>
    </row>
    <row r="150" spans="1:13" x14ac:dyDescent="0.2">
      <c r="A150" s="10">
        <v>42585</v>
      </c>
      <c r="C150">
        <v>15.37</v>
      </c>
      <c r="D150">
        <v>15.37</v>
      </c>
      <c r="E150">
        <v>15.24</v>
      </c>
      <c r="F150">
        <v>15.29</v>
      </c>
      <c r="G150">
        <v>10766655</v>
      </c>
      <c r="H150">
        <v>164751712</v>
      </c>
      <c r="I150" s="19">
        <f t="shared" si="4"/>
        <v>15.414000000000001</v>
      </c>
      <c r="J150" s="19">
        <f t="shared" si="5"/>
        <v>15.636000000000001</v>
      </c>
      <c r="K150" s="19">
        <f t="shared" si="6"/>
        <v>15.656000000000002</v>
      </c>
      <c r="L150" s="19">
        <f t="shared" si="7"/>
        <v>15.204833333333324</v>
      </c>
    </row>
    <row r="151" spans="1:13" x14ac:dyDescent="0.2">
      <c r="A151" s="10">
        <v>42586</v>
      </c>
      <c r="C151">
        <v>15.26</v>
      </c>
      <c r="D151">
        <v>15.5</v>
      </c>
      <c r="E151">
        <v>15.21</v>
      </c>
      <c r="F151">
        <v>15.48</v>
      </c>
      <c r="G151">
        <v>11808183</v>
      </c>
      <c r="H151">
        <v>181232144</v>
      </c>
      <c r="I151" s="19">
        <f t="shared" si="4"/>
        <v>15.410000000000002</v>
      </c>
      <c r="J151" s="19">
        <f t="shared" si="5"/>
        <v>15.574999999999999</v>
      </c>
      <c r="K151" s="19">
        <f t="shared" si="6"/>
        <v>15.648</v>
      </c>
      <c r="L151" s="19">
        <f t="shared" si="7"/>
        <v>15.207333333333327</v>
      </c>
      <c r="M151" t="s">
        <v>101</v>
      </c>
    </row>
    <row r="152" spans="1:13" x14ac:dyDescent="0.2">
      <c r="A152" s="10">
        <v>42587</v>
      </c>
      <c r="C152">
        <v>15.54</v>
      </c>
      <c r="D152">
        <v>15.97</v>
      </c>
      <c r="E152">
        <v>15.53</v>
      </c>
      <c r="F152">
        <v>15.76</v>
      </c>
      <c r="G152">
        <v>29708658</v>
      </c>
      <c r="H152">
        <v>469615744</v>
      </c>
      <c r="I152" s="19">
        <f t="shared" si="4"/>
        <v>15.404</v>
      </c>
      <c r="J152" s="19">
        <f t="shared" si="5"/>
        <v>15.543000000000001</v>
      </c>
      <c r="K152" s="19">
        <f t="shared" si="6"/>
        <v>15.654500000000002</v>
      </c>
      <c r="L152" s="19">
        <f t="shared" si="7"/>
        <v>15.211999999999993</v>
      </c>
    </row>
    <row r="153" spans="1:13" x14ac:dyDescent="0.2">
      <c r="A153" s="10">
        <v>42590</v>
      </c>
      <c r="C153">
        <v>15.8</v>
      </c>
      <c r="D153">
        <v>16.2</v>
      </c>
      <c r="E153">
        <v>15.71</v>
      </c>
      <c r="F153">
        <v>16.05</v>
      </c>
      <c r="G153">
        <v>33971549</v>
      </c>
      <c r="H153">
        <v>545360896</v>
      </c>
      <c r="I153" s="19">
        <f t="shared" si="4"/>
        <v>15.444000000000003</v>
      </c>
      <c r="J153" s="19">
        <f t="shared" si="5"/>
        <v>15.553999999999997</v>
      </c>
      <c r="K153" s="19">
        <f t="shared" si="6"/>
        <v>15.679000000000002</v>
      </c>
      <c r="L153" s="19">
        <f t="shared" si="7"/>
        <v>15.221166666666658</v>
      </c>
    </row>
    <row r="154" spans="1:13" x14ac:dyDescent="0.2">
      <c r="A154" s="10">
        <v>42591</v>
      </c>
      <c r="C154">
        <v>16.04</v>
      </c>
      <c r="D154">
        <v>16.100000000000001</v>
      </c>
      <c r="E154">
        <v>15.87</v>
      </c>
      <c r="F154">
        <v>16.07</v>
      </c>
      <c r="G154">
        <v>17929170</v>
      </c>
      <c r="H154">
        <v>286903712</v>
      </c>
      <c r="I154" s="19">
        <f t="shared" si="4"/>
        <v>15.592000000000002</v>
      </c>
      <c r="J154" s="19">
        <f t="shared" si="5"/>
        <v>15.567000000000002</v>
      </c>
      <c r="K154" s="19">
        <f t="shared" si="6"/>
        <v>15.719500000000002</v>
      </c>
      <c r="L154" s="19">
        <f t="shared" si="7"/>
        <v>15.233666666666661</v>
      </c>
    </row>
    <row r="155" spans="1:13" x14ac:dyDescent="0.2">
      <c r="A155" s="10">
        <v>42592</v>
      </c>
      <c r="C155">
        <v>16.12</v>
      </c>
      <c r="D155">
        <v>16.149999999999999</v>
      </c>
      <c r="E155">
        <v>15.95</v>
      </c>
      <c r="F155">
        <v>16</v>
      </c>
      <c r="G155">
        <v>17025266</v>
      </c>
      <c r="H155">
        <v>273257344</v>
      </c>
      <c r="I155" s="19">
        <f t="shared" si="4"/>
        <v>15.73</v>
      </c>
      <c r="J155" s="19">
        <f t="shared" si="5"/>
        <v>15.572000000000003</v>
      </c>
      <c r="K155" s="19">
        <f t="shared" si="6"/>
        <v>15.733000000000001</v>
      </c>
      <c r="L155" s="19">
        <f t="shared" si="7"/>
        <v>15.251166666666659</v>
      </c>
    </row>
    <row r="156" spans="1:13" x14ac:dyDescent="0.2">
      <c r="A156" s="10">
        <v>42593</v>
      </c>
      <c r="C156">
        <v>16</v>
      </c>
      <c r="D156">
        <v>16.149999999999999</v>
      </c>
      <c r="E156">
        <v>15.81</v>
      </c>
      <c r="F156">
        <v>15.84</v>
      </c>
      <c r="G156">
        <v>22835855</v>
      </c>
      <c r="H156">
        <v>365079904</v>
      </c>
      <c r="I156" s="19">
        <f t="shared" si="4"/>
        <v>15.872000000000003</v>
      </c>
      <c r="J156" s="19">
        <f t="shared" si="5"/>
        <v>15.641000000000002</v>
      </c>
      <c r="K156" s="19">
        <f t="shared" si="6"/>
        <v>15.741499999999998</v>
      </c>
      <c r="L156" s="19">
        <f t="shared" si="7"/>
        <v>15.264833333333327</v>
      </c>
    </row>
    <row r="157" spans="1:13" x14ac:dyDescent="0.2">
      <c r="A157" s="10">
        <v>42594</v>
      </c>
      <c r="C157">
        <v>15.32</v>
      </c>
      <c r="D157">
        <v>16.100000000000001</v>
      </c>
      <c r="E157">
        <v>15.23</v>
      </c>
      <c r="F157">
        <v>15.86</v>
      </c>
      <c r="G157">
        <v>46117707</v>
      </c>
      <c r="H157">
        <v>723930176</v>
      </c>
      <c r="I157" s="19">
        <f t="shared" si="4"/>
        <v>15.943999999999999</v>
      </c>
      <c r="J157" s="19">
        <f t="shared" si="5"/>
        <v>15.674000000000001</v>
      </c>
      <c r="K157" s="19">
        <f t="shared" si="6"/>
        <v>15.741499999999997</v>
      </c>
      <c r="L157" s="19">
        <f t="shared" si="7"/>
        <v>15.277833333333326</v>
      </c>
    </row>
    <row r="158" spans="1:13" x14ac:dyDescent="0.2">
      <c r="A158" s="10">
        <v>42597</v>
      </c>
      <c r="C158">
        <v>15.92</v>
      </c>
      <c r="D158">
        <v>16.75</v>
      </c>
      <c r="E158">
        <v>15.91</v>
      </c>
      <c r="F158">
        <v>16.559999999999999</v>
      </c>
      <c r="G158">
        <v>73890212</v>
      </c>
      <c r="H158">
        <v>1212627072</v>
      </c>
      <c r="I158" s="19">
        <f t="shared" si="4"/>
        <v>15.964000000000002</v>
      </c>
      <c r="J158" s="19">
        <f t="shared" si="5"/>
        <v>15.704000000000002</v>
      </c>
      <c r="K158" s="19">
        <f t="shared" si="6"/>
        <v>15.738</v>
      </c>
      <c r="L158" s="19">
        <f t="shared" si="7"/>
        <v>15.294666666666663</v>
      </c>
    </row>
    <row r="159" spans="1:13" x14ac:dyDescent="0.2">
      <c r="A159" s="10">
        <v>42598</v>
      </c>
      <c r="C159">
        <v>16.54</v>
      </c>
      <c r="D159">
        <v>17.96</v>
      </c>
      <c r="E159">
        <v>16.5</v>
      </c>
      <c r="F159">
        <v>17.18</v>
      </c>
      <c r="G159">
        <v>94953275</v>
      </c>
      <c r="H159">
        <v>1632779648</v>
      </c>
      <c r="I159" s="19">
        <f t="shared" si="4"/>
        <v>16.065999999999999</v>
      </c>
      <c r="J159" s="19">
        <f t="shared" si="5"/>
        <v>15.829000000000002</v>
      </c>
      <c r="K159" s="19">
        <f t="shared" si="6"/>
        <v>15.766499999999997</v>
      </c>
      <c r="L159" s="19">
        <f t="shared" si="7"/>
        <v>15.323666666666659</v>
      </c>
    </row>
    <row r="160" spans="1:13" x14ac:dyDescent="0.2">
      <c r="A160" s="10">
        <v>42599</v>
      </c>
      <c r="C160">
        <v>17.14</v>
      </c>
      <c r="D160">
        <v>17.14</v>
      </c>
      <c r="E160">
        <v>16.690000000000001</v>
      </c>
      <c r="F160">
        <v>16.8</v>
      </c>
      <c r="G160">
        <v>47233438</v>
      </c>
      <c r="H160">
        <v>797898176</v>
      </c>
      <c r="I160" s="19">
        <f t="shared" si="4"/>
        <v>16.288</v>
      </c>
      <c r="J160" s="19">
        <f t="shared" si="5"/>
        <v>16.009</v>
      </c>
      <c r="K160" s="19">
        <f t="shared" si="6"/>
        <v>15.8225</v>
      </c>
      <c r="L160" s="19">
        <f t="shared" si="7"/>
        <v>15.363166666666661</v>
      </c>
    </row>
    <row r="161" spans="1:13" x14ac:dyDescent="0.2">
      <c r="A161" s="10">
        <v>42600</v>
      </c>
      <c r="C161">
        <v>16.8</v>
      </c>
      <c r="D161">
        <v>17.68</v>
      </c>
      <c r="E161">
        <v>16.8</v>
      </c>
      <c r="F161">
        <v>17.329999999999998</v>
      </c>
      <c r="G161">
        <v>67691571</v>
      </c>
      <c r="H161">
        <v>1173493504</v>
      </c>
      <c r="I161" s="19">
        <f t="shared" si="4"/>
        <v>16.448</v>
      </c>
      <c r="J161" s="19">
        <f t="shared" si="5"/>
        <v>16.160000000000004</v>
      </c>
      <c r="K161" s="19">
        <f t="shared" si="6"/>
        <v>15.867500000000001</v>
      </c>
      <c r="L161" s="19">
        <f t="shared" si="7"/>
        <v>15.394666666666659</v>
      </c>
    </row>
    <row r="162" spans="1:13" x14ac:dyDescent="0.2">
      <c r="A162" s="10">
        <v>42601</v>
      </c>
      <c r="C162">
        <v>17.3</v>
      </c>
      <c r="D162">
        <v>17.39</v>
      </c>
      <c r="E162">
        <v>16.809999999999999</v>
      </c>
      <c r="F162">
        <v>17.12</v>
      </c>
      <c r="G162">
        <v>35824187</v>
      </c>
      <c r="H162">
        <v>610405952</v>
      </c>
      <c r="I162" s="19">
        <f t="shared" si="4"/>
        <v>16.746000000000002</v>
      </c>
      <c r="J162" s="19">
        <f t="shared" si="5"/>
        <v>16.344999999999999</v>
      </c>
      <c r="K162" s="19">
        <f t="shared" si="6"/>
        <v>15.943999999999999</v>
      </c>
      <c r="L162" s="19">
        <f t="shared" si="7"/>
        <v>15.437499999999991</v>
      </c>
    </row>
    <row r="163" spans="1:13" x14ac:dyDescent="0.2">
      <c r="A163" s="10">
        <v>42604</v>
      </c>
      <c r="C163">
        <v>17.03</v>
      </c>
      <c r="D163">
        <v>17.09</v>
      </c>
      <c r="E163">
        <v>16.5</v>
      </c>
      <c r="F163">
        <v>16.690000000000001</v>
      </c>
      <c r="G163">
        <v>35351462</v>
      </c>
      <c r="H163">
        <v>591590464</v>
      </c>
      <c r="I163" s="19">
        <f t="shared" si="4"/>
        <v>16.997999999999998</v>
      </c>
      <c r="J163" s="19">
        <f t="shared" si="5"/>
        <v>16.481000000000002</v>
      </c>
      <c r="K163" s="19">
        <f t="shared" si="6"/>
        <v>16.017499999999998</v>
      </c>
      <c r="L163" s="19">
        <f t="shared" si="7"/>
        <v>15.476833333333325</v>
      </c>
    </row>
    <row r="164" spans="1:13" x14ac:dyDescent="0.2">
      <c r="A164" s="10">
        <v>42605</v>
      </c>
      <c r="C164">
        <v>16.559999999999999</v>
      </c>
      <c r="D164">
        <v>16.97</v>
      </c>
      <c r="E164">
        <v>16.510000000000002</v>
      </c>
      <c r="F164">
        <v>16.66</v>
      </c>
      <c r="G164">
        <v>24868693</v>
      </c>
      <c r="H164">
        <v>416482752</v>
      </c>
      <c r="I164" s="19">
        <f t="shared" si="4"/>
        <v>17.024000000000001</v>
      </c>
      <c r="J164" s="19">
        <f t="shared" si="5"/>
        <v>16.544999999999998</v>
      </c>
      <c r="K164" s="19">
        <f t="shared" si="6"/>
        <v>16.056000000000001</v>
      </c>
      <c r="L164" s="19">
        <f t="shared" si="7"/>
        <v>15.509333333333327</v>
      </c>
      <c r="M164" t="s">
        <v>103</v>
      </c>
    </row>
    <row r="165" spans="1:13" x14ac:dyDescent="0.2">
      <c r="A165" s="10">
        <v>42606</v>
      </c>
      <c r="C165">
        <v>16.72</v>
      </c>
      <c r="D165">
        <v>16.899999999999999</v>
      </c>
      <c r="E165">
        <v>16.5</v>
      </c>
      <c r="F165">
        <v>16.510000000000002</v>
      </c>
      <c r="G165">
        <v>21651790</v>
      </c>
      <c r="H165">
        <v>361378816</v>
      </c>
      <c r="I165" s="19">
        <f t="shared" si="4"/>
        <v>16.919999999999998</v>
      </c>
      <c r="J165" s="19">
        <f t="shared" si="5"/>
        <v>16.603999999999999</v>
      </c>
      <c r="K165" s="19">
        <f t="shared" si="6"/>
        <v>16.088000000000001</v>
      </c>
      <c r="L165" s="19">
        <f t="shared" si="7"/>
        <v>15.542499999999992</v>
      </c>
    </row>
    <row r="166" spans="1:13" x14ac:dyDescent="0.2">
      <c r="A166" s="10">
        <v>42607</v>
      </c>
      <c r="C166">
        <v>16.5</v>
      </c>
      <c r="D166">
        <v>16.5</v>
      </c>
      <c r="E166">
        <v>15.88</v>
      </c>
      <c r="F166">
        <v>16.2</v>
      </c>
      <c r="G166">
        <v>31690848</v>
      </c>
      <c r="H166">
        <v>511299968</v>
      </c>
      <c r="I166" s="19">
        <f t="shared" si="4"/>
        <v>16.862000000000002</v>
      </c>
      <c r="J166" s="19">
        <f t="shared" si="5"/>
        <v>16.654999999999998</v>
      </c>
      <c r="K166" s="19">
        <f t="shared" si="6"/>
        <v>16.148000000000003</v>
      </c>
      <c r="L166" s="19">
        <f t="shared" si="7"/>
        <v>15.575499999999995</v>
      </c>
      <c r="M166" t="s">
        <v>102</v>
      </c>
    </row>
    <row r="167" spans="1:13" x14ac:dyDescent="0.2">
      <c r="A167" s="10">
        <v>42608</v>
      </c>
      <c r="C167">
        <v>16.329999999999998</v>
      </c>
      <c r="D167">
        <v>16.46</v>
      </c>
      <c r="E167">
        <v>16.12</v>
      </c>
      <c r="F167">
        <v>16.2</v>
      </c>
      <c r="G167">
        <v>17087156</v>
      </c>
      <c r="H167">
        <v>278562528</v>
      </c>
      <c r="I167" s="19">
        <f t="shared" si="4"/>
        <v>16.636000000000003</v>
      </c>
      <c r="J167" s="19">
        <f t="shared" si="5"/>
        <v>16.690999999999999</v>
      </c>
      <c r="K167" s="19">
        <f t="shared" si="6"/>
        <v>16.182500000000001</v>
      </c>
      <c r="L167" s="19">
        <f t="shared" si="7"/>
        <v>15.593833333333327</v>
      </c>
    </row>
    <row r="168" spans="1:13" x14ac:dyDescent="0.2">
      <c r="A168" s="10">
        <v>42611</v>
      </c>
      <c r="C168">
        <v>16.2</v>
      </c>
      <c r="D168">
        <v>16.28</v>
      </c>
      <c r="E168">
        <v>15.96</v>
      </c>
      <c r="F168">
        <v>16.18</v>
      </c>
      <c r="G168">
        <v>20085059</v>
      </c>
      <c r="H168">
        <v>323589632</v>
      </c>
      <c r="I168" s="19">
        <f t="shared" si="4"/>
        <v>16.452000000000002</v>
      </c>
      <c r="J168" s="19">
        <f t="shared" si="5"/>
        <v>16.724999999999998</v>
      </c>
      <c r="K168" s="19">
        <f t="shared" si="6"/>
        <v>16.214500000000001</v>
      </c>
      <c r="L168" s="19">
        <f t="shared" si="7"/>
        <v>15.61033333333333</v>
      </c>
    </row>
    <row r="169" spans="1:13" x14ac:dyDescent="0.2">
      <c r="A169" s="10">
        <v>42612</v>
      </c>
      <c r="C169">
        <v>16.149999999999999</v>
      </c>
      <c r="D169">
        <v>16.57</v>
      </c>
      <c r="E169">
        <v>16.149999999999999</v>
      </c>
      <c r="F169">
        <v>16.420000000000002</v>
      </c>
      <c r="G169">
        <v>26188081</v>
      </c>
      <c r="H169">
        <v>429610048</v>
      </c>
      <c r="I169" s="19">
        <f t="shared" si="4"/>
        <v>16.350000000000001</v>
      </c>
      <c r="J169" s="19">
        <f t="shared" si="5"/>
        <v>16.687000000000001</v>
      </c>
      <c r="K169" s="19">
        <f t="shared" si="6"/>
        <v>16.258000000000003</v>
      </c>
      <c r="L169" s="19">
        <f t="shared" si="7"/>
        <v>15.62683333333333</v>
      </c>
    </row>
    <row r="170" spans="1:13" x14ac:dyDescent="0.2">
      <c r="A170" s="10">
        <v>42613</v>
      </c>
      <c r="C170">
        <v>16.45</v>
      </c>
      <c r="D170">
        <v>16.46</v>
      </c>
      <c r="E170">
        <v>16.16</v>
      </c>
      <c r="F170">
        <v>16.329999999999998</v>
      </c>
      <c r="G170">
        <v>17701862</v>
      </c>
      <c r="H170">
        <v>288824960</v>
      </c>
      <c r="I170" s="19">
        <f t="shared" si="4"/>
        <v>16.302</v>
      </c>
      <c r="J170" s="19">
        <f t="shared" si="5"/>
        <v>16.611000000000001</v>
      </c>
      <c r="K170" s="19">
        <f t="shared" si="6"/>
        <v>16.310000000000002</v>
      </c>
      <c r="L170" s="19">
        <f t="shared" si="7"/>
        <v>15.644999999999994</v>
      </c>
    </row>
  </sheetData>
  <mergeCells count="1">
    <mergeCell ref="M66:M85"/>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2"/>
  <sheetViews>
    <sheetView showRuler="0" topLeftCell="A148" workbookViewId="0">
      <selection activeCell="A199" sqref="A199:XFD199"/>
    </sheetView>
  </sheetViews>
  <sheetFormatPr baseColWidth="10" defaultRowHeight="16" x14ac:dyDescent="0.2"/>
  <cols>
    <col min="1" max="1" width="11.33203125" bestFit="1" customWidth="1"/>
    <col min="3" max="7" width="11" bestFit="1" customWidth="1"/>
    <col min="8" max="8" width="12.1640625" customWidth="1"/>
  </cols>
  <sheetData>
    <row r="1" spans="1:13" x14ac:dyDescent="0.2">
      <c r="A1" s="6" t="s">
        <v>46</v>
      </c>
      <c r="B1" s="7" t="s">
        <v>47</v>
      </c>
      <c r="C1" s="7" t="s">
        <v>48</v>
      </c>
      <c r="D1" s="7" t="s">
        <v>49</v>
      </c>
      <c r="E1" s="7" t="s">
        <v>50</v>
      </c>
    </row>
    <row r="2" spans="1:13" x14ac:dyDescent="0.2">
      <c r="A2" t="s">
        <v>88</v>
      </c>
      <c r="B2" t="s">
        <v>8</v>
      </c>
      <c r="C2" t="s">
        <v>51</v>
      </c>
      <c r="D2">
        <v>601899</v>
      </c>
      <c r="E2" s="9" t="s">
        <v>53</v>
      </c>
    </row>
    <row r="4" spans="1:13" x14ac:dyDescent="0.2">
      <c r="A4" t="s">
        <v>7</v>
      </c>
      <c r="I4" s="13"/>
      <c r="J4" s="13"/>
      <c r="K4" s="13"/>
      <c r="L4" s="13"/>
    </row>
    <row r="5" spans="1:13" x14ac:dyDescent="0.2">
      <c r="A5" t="s">
        <v>3</v>
      </c>
      <c r="B5" t="s">
        <v>4</v>
      </c>
      <c r="C5" t="s">
        <v>5</v>
      </c>
      <c r="D5" t="s">
        <v>54</v>
      </c>
      <c r="E5" t="s">
        <v>55</v>
      </c>
      <c r="F5" t="s">
        <v>56</v>
      </c>
      <c r="G5" t="s">
        <v>6</v>
      </c>
      <c r="H5" t="s">
        <v>52</v>
      </c>
      <c r="I5" s="13" t="s">
        <v>108</v>
      </c>
      <c r="J5" s="13" t="s">
        <v>109</v>
      </c>
      <c r="K5" s="13" t="s">
        <v>110</v>
      </c>
      <c r="L5" s="13" t="s">
        <v>111</v>
      </c>
      <c r="M5" s="13" t="s">
        <v>112</v>
      </c>
    </row>
    <row r="6" spans="1:13" x14ac:dyDescent="0.2">
      <c r="A6" s="20">
        <v>42703</v>
      </c>
      <c r="B6" s="21"/>
      <c r="C6" s="21">
        <v>3.68</v>
      </c>
      <c r="D6" s="21">
        <v>3.69</v>
      </c>
      <c r="E6" s="21">
        <v>3.62</v>
      </c>
      <c r="F6" s="21">
        <v>3.66</v>
      </c>
      <c r="G6" s="21">
        <v>246067068</v>
      </c>
      <c r="H6" s="21">
        <v>898122048</v>
      </c>
    </row>
    <row r="7" spans="1:13" x14ac:dyDescent="0.2">
      <c r="A7" s="20">
        <v>42704</v>
      </c>
      <c r="B7" s="21"/>
      <c r="C7" s="21">
        <v>3.63</v>
      </c>
      <c r="D7" s="21">
        <v>3.67</v>
      </c>
      <c r="E7" s="21">
        <v>3.53</v>
      </c>
      <c r="F7" s="21">
        <v>3.56</v>
      </c>
      <c r="G7" s="21">
        <v>241377750</v>
      </c>
      <c r="H7" s="21">
        <v>866768256</v>
      </c>
    </row>
    <row r="8" spans="1:13" x14ac:dyDescent="0.2">
      <c r="A8" s="20">
        <v>42705</v>
      </c>
      <c r="B8" s="21"/>
      <c r="C8" s="21">
        <v>3.53</v>
      </c>
      <c r="D8" s="21">
        <v>3.66</v>
      </c>
      <c r="E8" s="21">
        <v>3.52</v>
      </c>
      <c r="F8" s="21">
        <v>3.65</v>
      </c>
      <c r="G8" s="21">
        <v>188884714</v>
      </c>
      <c r="H8" s="21">
        <v>680271232</v>
      </c>
    </row>
    <row r="9" spans="1:13" x14ac:dyDescent="0.2">
      <c r="A9" s="20">
        <v>42706</v>
      </c>
      <c r="B9" s="21"/>
      <c r="C9" s="21">
        <v>3.64</v>
      </c>
      <c r="D9" s="21">
        <v>3.66</v>
      </c>
      <c r="E9" s="21">
        <v>3.55</v>
      </c>
      <c r="F9" s="21">
        <v>3.57</v>
      </c>
      <c r="G9" s="21">
        <v>202560619</v>
      </c>
      <c r="H9" s="21">
        <v>728479360</v>
      </c>
    </row>
    <row r="10" spans="1:13" x14ac:dyDescent="0.2">
      <c r="A10" s="20">
        <v>42709</v>
      </c>
      <c r="B10" s="21"/>
      <c r="C10" s="21">
        <v>3.53</v>
      </c>
      <c r="D10" s="21">
        <v>3.54</v>
      </c>
      <c r="E10" s="21">
        <v>3.48</v>
      </c>
      <c r="F10" s="21">
        <v>3.5</v>
      </c>
      <c r="G10" s="21">
        <v>163266262</v>
      </c>
      <c r="H10" s="21">
        <v>572540736</v>
      </c>
    </row>
    <row r="11" spans="1:13" x14ac:dyDescent="0.2">
      <c r="A11" s="20">
        <v>42710</v>
      </c>
      <c r="B11" s="21"/>
      <c r="C11" s="21">
        <v>3.51</v>
      </c>
      <c r="D11" s="21">
        <v>3.54</v>
      </c>
      <c r="E11" s="21">
        <v>3.45</v>
      </c>
      <c r="F11" s="21">
        <v>3.47</v>
      </c>
      <c r="G11" s="21">
        <v>125910993</v>
      </c>
      <c r="H11" s="21">
        <v>438338880</v>
      </c>
    </row>
    <row r="12" spans="1:13" x14ac:dyDescent="0.2">
      <c r="A12" s="20">
        <v>42711</v>
      </c>
      <c r="B12" s="21"/>
      <c r="C12" s="21">
        <v>3.47</v>
      </c>
      <c r="D12" s="21">
        <v>3.48</v>
      </c>
      <c r="E12" s="21">
        <v>3.41</v>
      </c>
      <c r="F12" s="21">
        <v>3.48</v>
      </c>
      <c r="G12" s="21">
        <v>181125727</v>
      </c>
      <c r="H12" s="21">
        <v>625511040</v>
      </c>
    </row>
    <row r="13" spans="1:13" x14ac:dyDescent="0.2">
      <c r="A13" s="20">
        <v>42712</v>
      </c>
      <c r="B13" s="21"/>
      <c r="C13" s="21">
        <v>3.49</v>
      </c>
      <c r="D13" s="21">
        <v>3.57</v>
      </c>
      <c r="E13" s="21">
        <v>3.48</v>
      </c>
      <c r="F13" s="21">
        <v>3.52</v>
      </c>
      <c r="G13" s="21">
        <v>218171716</v>
      </c>
      <c r="H13" s="21">
        <v>771265792</v>
      </c>
    </row>
    <row r="14" spans="1:13" x14ac:dyDescent="0.2">
      <c r="A14" s="20">
        <v>42713</v>
      </c>
      <c r="B14" s="21"/>
      <c r="C14" s="21">
        <v>3.5</v>
      </c>
      <c r="D14" s="21">
        <v>3.54</v>
      </c>
      <c r="E14" s="21">
        <v>3.47</v>
      </c>
      <c r="F14" s="21">
        <v>3.52</v>
      </c>
      <c r="G14" s="21">
        <v>124494395</v>
      </c>
      <c r="H14" s="21">
        <v>436320384</v>
      </c>
    </row>
    <row r="15" spans="1:13" x14ac:dyDescent="0.2">
      <c r="A15" s="20">
        <v>42716</v>
      </c>
      <c r="B15" s="21"/>
      <c r="C15" s="21">
        <v>3.49</v>
      </c>
      <c r="D15" s="21">
        <v>3.53</v>
      </c>
      <c r="E15" s="21">
        <v>3.4</v>
      </c>
      <c r="F15" s="21">
        <v>3.41</v>
      </c>
      <c r="G15" s="21">
        <v>152726171</v>
      </c>
      <c r="H15" s="21">
        <v>529430784</v>
      </c>
    </row>
    <row r="16" spans="1:13" x14ac:dyDescent="0.2">
      <c r="A16" s="20">
        <v>42717</v>
      </c>
      <c r="B16" s="21"/>
      <c r="C16" s="21">
        <v>3.4</v>
      </c>
      <c r="D16" s="21">
        <v>3.44</v>
      </c>
      <c r="E16" s="21">
        <v>3.37</v>
      </c>
      <c r="F16" s="21">
        <v>3.44</v>
      </c>
      <c r="G16" s="21">
        <v>97684662</v>
      </c>
      <c r="H16" s="21">
        <v>333231936</v>
      </c>
    </row>
    <row r="17" spans="1:8" x14ac:dyDescent="0.2">
      <c r="A17" s="20">
        <v>42718</v>
      </c>
      <c r="B17" s="21"/>
      <c r="C17" s="21">
        <v>3.42</v>
      </c>
      <c r="D17" s="21">
        <v>3.6</v>
      </c>
      <c r="E17" s="21">
        <v>3.41</v>
      </c>
      <c r="F17" s="21">
        <v>3.55</v>
      </c>
      <c r="G17" s="21">
        <v>277689481</v>
      </c>
      <c r="H17" s="21">
        <v>980341632</v>
      </c>
    </row>
    <row r="18" spans="1:8" x14ac:dyDescent="0.2">
      <c r="A18" s="20">
        <v>42719</v>
      </c>
      <c r="B18" s="21"/>
      <c r="C18" s="21">
        <v>3.42</v>
      </c>
      <c r="D18" s="21">
        <v>3.52</v>
      </c>
      <c r="E18" s="21">
        <v>3.42</v>
      </c>
      <c r="F18" s="21">
        <v>3.48</v>
      </c>
      <c r="G18" s="21">
        <v>194086096</v>
      </c>
      <c r="H18" s="21">
        <v>673244032</v>
      </c>
    </row>
    <row r="19" spans="1:8" x14ac:dyDescent="0.2">
      <c r="A19" s="20">
        <v>42720</v>
      </c>
      <c r="B19" s="21"/>
      <c r="C19" s="21">
        <v>3.46</v>
      </c>
      <c r="D19" s="21">
        <v>3.48</v>
      </c>
      <c r="E19" s="21">
        <v>3.41</v>
      </c>
      <c r="F19" s="21">
        <v>3.46</v>
      </c>
      <c r="G19" s="21">
        <v>120906156</v>
      </c>
      <c r="H19" s="21">
        <v>416631328</v>
      </c>
    </row>
    <row r="20" spans="1:8" x14ac:dyDescent="0.2">
      <c r="A20" s="20">
        <v>42723</v>
      </c>
      <c r="B20" s="21"/>
      <c r="C20" s="21">
        <v>3.47</v>
      </c>
      <c r="D20" s="21">
        <v>3.48</v>
      </c>
      <c r="E20" s="21">
        <v>3.42</v>
      </c>
      <c r="F20" s="21">
        <v>3.46</v>
      </c>
      <c r="G20" s="21">
        <v>69879631</v>
      </c>
      <c r="H20" s="21">
        <v>240668224</v>
      </c>
    </row>
    <row r="21" spans="1:8" x14ac:dyDescent="0.2">
      <c r="A21" s="20">
        <v>42724</v>
      </c>
      <c r="B21" s="21"/>
      <c r="C21" s="21">
        <v>3.44</v>
      </c>
      <c r="D21" s="21">
        <v>3.45</v>
      </c>
      <c r="E21" s="21">
        <v>3.37</v>
      </c>
      <c r="F21" s="21">
        <v>3.39</v>
      </c>
      <c r="G21" s="21">
        <v>126043869</v>
      </c>
      <c r="H21" s="21">
        <v>428929312</v>
      </c>
    </row>
    <row r="22" spans="1:8" x14ac:dyDescent="0.2">
      <c r="A22" s="20">
        <v>42725</v>
      </c>
      <c r="B22" s="21"/>
      <c r="C22" s="21">
        <v>3.38</v>
      </c>
      <c r="D22" s="21">
        <v>3.43</v>
      </c>
      <c r="E22" s="21">
        <v>3.36</v>
      </c>
      <c r="F22" s="21">
        <v>3.42</v>
      </c>
      <c r="G22" s="21">
        <v>94281877</v>
      </c>
      <c r="H22" s="21">
        <v>320832384</v>
      </c>
    </row>
    <row r="23" spans="1:8" x14ac:dyDescent="0.2">
      <c r="A23" s="20">
        <v>42726</v>
      </c>
      <c r="B23" s="21"/>
      <c r="C23" s="21">
        <v>3.41</v>
      </c>
      <c r="D23" s="21">
        <v>3.41</v>
      </c>
      <c r="E23" s="21">
        <v>3.37</v>
      </c>
      <c r="F23" s="21">
        <v>3.39</v>
      </c>
      <c r="G23" s="21">
        <v>76783248</v>
      </c>
      <c r="H23" s="21">
        <v>259703776</v>
      </c>
    </row>
    <row r="24" spans="1:8" x14ac:dyDescent="0.2">
      <c r="A24" s="20">
        <v>42727</v>
      </c>
      <c r="B24" s="21"/>
      <c r="C24" s="21">
        <v>3.39</v>
      </c>
      <c r="D24" s="21">
        <v>3.39</v>
      </c>
      <c r="E24" s="21">
        <v>3.33</v>
      </c>
      <c r="F24" s="21">
        <v>3.34</v>
      </c>
      <c r="G24" s="21">
        <v>77726640</v>
      </c>
      <c r="H24" s="21">
        <v>260945456</v>
      </c>
    </row>
    <row r="25" spans="1:8" x14ac:dyDescent="0.2">
      <c r="A25" s="20">
        <v>42730</v>
      </c>
      <c r="B25" s="21"/>
      <c r="C25" s="21">
        <v>3.33</v>
      </c>
      <c r="D25" s="21">
        <v>3.34</v>
      </c>
      <c r="E25" s="21">
        <v>3.24</v>
      </c>
      <c r="F25" s="21">
        <v>3.3</v>
      </c>
      <c r="G25" s="21">
        <v>102474643</v>
      </c>
      <c r="H25" s="21">
        <v>336124448</v>
      </c>
    </row>
    <row r="26" spans="1:8" x14ac:dyDescent="0.2">
      <c r="A26" s="20">
        <v>42731</v>
      </c>
      <c r="B26" s="21"/>
      <c r="C26" s="21">
        <v>3.29</v>
      </c>
      <c r="D26" s="21">
        <v>3.33</v>
      </c>
      <c r="E26" s="21">
        <v>3.26</v>
      </c>
      <c r="F26" s="21">
        <v>3.3</v>
      </c>
      <c r="G26" s="21">
        <v>96052298</v>
      </c>
      <c r="H26" s="21">
        <v>316192320</v>
      </c>
    </row>
    <row r="27" spans="1:8" x14ac:dyDescent="0.2">
      <c r="A27" s="20">
        <v>42732</v>
      </c>
      <c r="B27" s="21"/>
      <c r="C27" s="21">
        <v>3.31</v>
      </c>
      <c r="D27" s="21">
        <v>3.32</v>
      </c>
      <c r="E27" s="21">
        <v>3.28</v>
      </c>
      <c r="F27" s="21">
        <v>3.3</v>
      </c>
      <c r="G27" s="21">
        <v>75457656</v>
      </c>
      <c r="H27" s="21">
        <v>248992496</v>
      </c>
    </row>
    <row r="28" spans="1:8" x14ac:dyDescent="0.2">
      <c r="A28" s="20">
        <v>42733</v>
      </c>
      <c r="B28" s="21"/>
      <c r="C28" s="21">
        <v>3.32</v>
      </c>
      <c r="D28" s="21">
        <v>3.36</v>
      </c>
      <c r="E28" s="21">
        <v>3.31</v>
      </c>
      <c r="F28" s="21">
        <v>3.34</v>
      </c>
      <c r="G28" s="21">
        <v>101348457</v>
      </c>
      <c r="H28" s="21">
        <v>337728928</v>
      </c>
    </row>
    <row r="29" spans="1:8" x14ac:dyDescent="0.2">
      <c r="A29" s="20">
        <v>42734</v>
      </c>
      <c r="B29" s="21"/>
      <c r="C29" s="21">
        <v>3.37</v>
      </c>
      <c r="D29" s="21">
        <v>3.39</v>
      </c>
      <c r="E29" s="21">
        <v>3.32</v>
      </c>
      <c r="F29" s="21">
        <v>3.34</v>
      </c>
      <c r="G29" s="21">
        <v>72380384</v>
      </c>
      <c r="H29" s="21">
        <v>241769680</v>
      </c>
    </row>
    <row r="30" spans="1:8" x14ac:dyDescent="0.2">
      <c r="A30" s="20">
        <v>42738</v>
      </c>
      <c r="B30" s="21"/>
      <c r="C30" s="21">
        <v>3.33</v>
      </c>
      <c r="D30" s="21">
        <v>3.38</v>
      </c>
      <c r="E30" s="21">
        <v>3.32</v>
      </c>
      <c r="F30" s="21">
        <v>3.36</v>
      </c>
      <c r="G30" s="21">
        <v>68200156</v>
      </c>
      <c r="H30" s="21">
        <v>229097712</v>
      </c>
    </row>
    <row r="31" spans="1:8" x14ac:dyDescent="0.2">
      <c r="A31" s="20">
        <v>42739</v>
      </c>
      <c r="B31" s="21"/>
      <c r="C31" s="21">
        <v>3.36</v>
      </c>
      <c r="D31" s="21">
        <v>3.38</v>
      </c>
      <c r="E31" s="21">
        <v>3.34</v>
      </c>
      <c r="F31" s="21">
        <v>3.37</v>
      </c>
      <c r="G31" s="21">
        <v>71716774</v>
      </c>
      <c r="H31" s="21">
        <v>240888464</v>
      </c>
    </row>
    <row r="32" spans="1:8" x14ac:dyDescent="0.2">
      <c r="A32" s="20">
        <v>42740</v>
      </c>
      <c r="B32" s="21"/>
      <c r="C32" s="21">
        <v>3.38</v>
      </c>
      <c r="D32" s="21">
        <v>3.42</v>
      </c>
      <c r="E32" s="21">
        <v>3.37</v>
      </c>
      <c r="F32" s="21">
        <v>3.41</v>
      </c>
      <c r="G32" s="21">
        <v>106678038</v>
      </c>
      <c r="H32" s="21">
        <v>363227520</v>
      </c>
    </row>
    <row r="33" spans="1:8" x14ac:dyDescent="0.2">
      <c r="A33" s="20">
        <v>42741</v>
      </c>
      <c r="B33" s="21"/>
      <c r="C33" s="21">
        <v>3.41</v>
      </c>
      <c r="D33" s="21">
        <v>3.42</v>
      </c>
      <c r="E33" s="21">
        <v>3.36</v>
      </c>
      <c r="F33" s="21">
        <v>3.38</v>
      </c>
      <c r="G33" s="21">
        <v>83070256</v>
      </c>
      <c r="H33" s="21">
        <v>281229344</v>
      </c>
    </row>
    <row r="34" spans="1:8" x14ac:dyDescent="0.2">
      <c r="A34" s="20">
        <v>42744</v>
      </c>
      <c r="B34" s="21"/>
      <c r="C34" s="21">
        <v>3.37</v>
      </c>
      <c r="D34" s="21">
        <v>3.39</v>
      </c>
      <c r="E34" s="21">
        <v>3.34</v>
      </c>
      <c r="F34" s="21">
        <v>3.37</v>
      </c>
      <c r="G34" s="21">
        <v>74292309</v>
      </c>
      <c r="H34" s="21">
        <v>249414048</v>
      </c>
    </row>
    <row r="35" spans="1:8" x14ac:dyDescent="0.2">
      <c r="A35" s="20">
        <v>42745</v>
      </c>
      <c r="B35" s="21"/>
      <c r="C35" s="21">
        <v>3.38</v>
      </c>
      <c r="D35" s="21">
        <v>3.42</v>
      </c>
      <c r="E35" s="21">
        <v>3.36</v>
      </c>
      <c r="F35" s="21">
        <v>3.4</v>
      </c>
      <c r="G35" s="21">
        <v>89850694</v>
      </c>
      <c r="H35" s="21">
        <v>304879808</v>
      </c>
    </row>
    <row r="36" spans="1:8" x14ac:dyDescent="0.2">
      <c r="A36" s="20">
        <v>42746</v>
      </c>
      <c r="B36" s="21"/>
      <c r="C36" s="21">
        <v>3.4</v>
      </c>
      <c r="D36" s="21">
        <v>3.45</v>
      </c>
      <c r="E36" s="21">
        <v>3.39</v>
      </c>
      <c r="F36" s="21">
        <v>3.41</v>
      </c>
      <c r="G36" s="21">
        <v>127231420</v>
      </c>
      <c r="H36" s="21">
        <v>435148800</v>
      </c>
    </row>
    <row r="37" spans="1:8" x14ac:dyDescent="0.2">
      <c r="A37" s="20">
        <v>42747</v>
      </c>
      <c r="B37" s="21"/>
      <c r="C37" s="21">
        <v>3.41</v>
      </c>
      <c r="D37" s="21">
        <v>3.44</v>
      </c>
      <c r="E37" s="21">
        <v>3.38</v>
      </c>
      <c r="F37" s="21">
        <v>3.4</v>
      </c>
      <c r="G37" s="21">
        <v>65327833</v>
      </c>
      <c r="H37" s="21">
        <v>222560416</v>
      </c>
    </row>
    <row r="38" spans="1:8" x14ac:dyDescent="0.2">
      <c r="A38" s="20">
        <v>42748</v>
      </c>
      <c r="B38" s="21"/>
      <c r="C38" s="21">
        <v>3.4</v>
      </c>
      <c r="D38" s="21">
        <v>3.44</v>
      </c>
      <c r="E38" s="21">
        <v>3.38</v>
      </c>
      <c r="F38" s="21">
        <v>3.41</v>
      </c>
      <c r="G38" s="21">
        <v>93620581</v>
      </c>
      <c r="H38" s="21">
        <v>319232576</v>
      </c>
    </row>
    <row r="39" spans="1:8" x14ac:dyDescent="0.2">
      <c r="A39" s="20">
        <v>42751</v>
      </c>
      <c r="B39" s="21"/>
      <c r="C39" s="21">
        <v>3.41</v>
      </c>
      <c r="D39" s="21">
        <v>3.48</v>
      </c>
      <c r="E39" s="21">
        <v>3.36</v>
      </c>
      <c r="F39" s="21">
        <v>3.45</v>
      </c>
      <c r="G39" s="21">
        <v>208386617</v>
      </c>
      <c r="H39" s="21">
        <v>711104704</v>
      </c>
    </row>
    <row r="40" spans="1:8" x14ac:dyDescent="0.2">
      <c r="A40" s="20">
        <v>42752</v>
      </c>
      <c r="B40" s="21"/>
      <c r="C40" s="21">
        <v>3.43</v>
      </c>
      <c r="D40" s="21">
        <v>3.5</v>
      </c>
      <c r="E40" s="21">
        <v>3.41</v>
      </c>
      <c r="F40" s="21">
        <v>3.49</v>
      </c>
      <c r="G40" s="21">
        <v>115334243</v>
      </c>
      <c r="H40" s="21">
        <v>399180000</v>
      </c>
    </row>
    <row r="41" spans="1:8" x14ac:dyDescent="0.2">
      <c r="A41" s="20">
        <v>42753</v>
      </c>
      <c r="B41" s="21"/>
      <c r="C41" s="21">
        <v>3.49</v>
      </c>
      <c r="D41" s="21">
        <v>3.54</v>
      </c>
      <c r="E41" s="21">
        <v>3.47</v>
      </c>
      <c r="F41" s="21">
        <v>3.49</v>
      </c>
      <c r="G41" s="21">
        <v>124184194</v>
      </c>
      <c r="H41" s="21">
        <v>435343040</v>
      </c>
    </row>
    <row r="42" spans="1:8" x14ac:dyDescent="0.2">
      <c r="A42" s="20">
        <v>42754</v>
      </c>
      <c r="B42" s="21"/>
      <c r="C42" s="21">
        <v>3.46</v>
      </c>
      <c r="D42" s="21">
        <v>3.47</v>
      </c>
      <c r="E42" s="21">
        <v>3.42</v>
      </c>
      <c r="F42" s="21">
        <v>3.42</v>
      </c>
      <c r="G42" s="21">
        <v>72496805</v>
      </c>
      <c r="H42" s="21">
        <v>249288576</v>
      </c>
    </row>
    <row r="43" spans="1:8" x14ac:dyDescent="0.2">
      <c r="A43" s="20">
        <v>42755</v>
      </c>
      <c r="B43" s="21"/>
      <c r="C43" s="21">
        <v>3.42</v>
      </c>
      <c r="D43" s="21">
        <v>3.45</v>
      </c>
      <c r="E43" s="21">
        <v>3.39</v>
      </c>
      <c r="F43" s="21">
        <v>3.44</v>
      </c>
      <c r="G43" s="21">
        <v>61454964</v>
      </c>
      <c r="H43" s="21">
        <v>210973040</v>
      </c>
    </row>
    <row r="44" spans="1:8" x14ac:dyDescent="0.2">
      <c r="A44" s="20">
        <v>42758</v>
      </c>
      <c r="B44" s="21"/>
      <c r="C44" s="21">
        <v>3.46</v>
      </c>
      <c r="D44" s="21">
        <v>3.53</v>
      </c>
      <c r="E44" s="21">
        <v>3.45</v>
      </c>
      <c r="F44" s="21">
        <v>3.51</v>
      </c>
      <c r="G44" s="21">
        <v>108756480</v>
      </c>
      <c r="H44" s="21">
        <v>380308736</v>
      </c>
    </row>
    <row r="45" spans="1:8" x14ac:dyDescent="0.2">
      <c r="A45" s="20">
        <v>42759</v>
      </c>
      <c r="B45" s="21"/>
      <c r="C45" s="21">
        <v>3.52</v>
      </c>
      <c r="D45" s="21">
        <v>3.52</v>
      </c>
      <c r="E45" s="21">
        <v>3.48</v>
      </c>
      <c r="F45" s="21">
        <v>3.49</v>
      </c>
      <c r="G45" s="21">
        <v>82270141</v>
      </c>
      <c r="H45" s="21">
        <v>288187296</v>
      </c>
    </row>
    <row r="46" spans="1:8" x14ac:dyDescent="0.2">
      <c r="A46" s="20">
        <v>42760</v>
      </c>
      <c r="B46" s="21"/>
      <c r="C46" s="21">
        <v>3.48</v>
      </c>
      <c r="D46" s="21">
        <v>3.53</v>
      </c>
      <c r="E46" s="21">
        <v>3.48</v>
      </c>
      <c r="F46" s="21">
        <v>3.51</v>
      </c>
      <c r="G46" s="21">
        <v>85767064</v>
      </c>
      <c r="H46" s="21">
        <v>301302048</v>
      </c>
    </row>
    <row r="47" spans="1:8" x14ac:dyDescent="0.2">
      <c r="A47" s="20">
        <v>42761</v>
      </c>
      <c r="B47" s="21"/>
      <c r="C47" s="21">
        <v>3.5</v>
      </c>
      <c r="D47" s="21">
        <v>3.59</v>
      </c>
      <c r="E47" s="21">
        <v>3.48</v>
      </c>
      <c r="F47" s="21">
        <v>3.58</v>
      </c>
      <c r="G47" s="21">
        <v>192555703</v>
      </c>
      <c r="H47" s="21">
        <v>682395200</v>
      </c>
    </row>
    <row r="48" spans="1:8" x14ac:dyDescent="0.2">
      <c r="A48" s="20">
        <v>42769</v>
      </c>
      <c r="B48" s="21"/>
      <c r="C48" s="21">
        <v>3.62</v>
      </c>
      <c r="D48" s="21">
        <v>3.64</v>
      </c>
      <c r="E48" s="21">
        <v>3.55</v>
      </c>
      <c r="F48" s="21">
        <v>3.57</v>
      </c>
      <c r="G48" s="21">
        <v>118628545</v>
      </c>
      <c r="H48" s="21">
        <v>426080608</v>
      </c>
    </row>
    <row r="49" spans="1:8" x14ac:dyDescent="0.2">
      <c r="A49" s="20">
        <v>42772</v>
      </c>
      <c r="B49" s="21"/>
      <c r="C49" s="21">
        <v>3.57</v>
      </c>
      <c r="D49" s="21">
        <v>3.59</v>
      </c>
      <c r="E49" s="21">
        <v>3.52</v>
      </c>
      <c r="F49" s="21">
        <v>3.54</v>
      </c>
      <c r="G49" s="21">
        <v>112262992</v>
      </c>
      <c r="H49" s="21">
        <v>398370240</v>
      </c>
    </row>
    <row r="50" spans="1:8" x14ac:dyDescent="0.2">
      <c r="A50" s="20">
        <v>42773</v>
      </c>
      <c r="B50" s="21"/>
      <c r="C50" s="21">
        <v>3.58</v>
      </c>
      <c r="D50" s="21">
        <v>3.6</v>
      </c>
      <c r="E50" s="21">
        <v>3.54</v>
      </c>
      <c r="F50" s="21">
        <v>3.58</v>
      </c>
      <c r="G50" s="21">
        <v>150379406</v>
      </c>
      <c r="H50" s="21">
        <v>537238976</v>
      </c>
    </row>
    <row r="51" spans="1:8" x14ac:dyDescent="0.2">
      <c r="A51" s="20">
        <v>42774</v>
      </c>
      <c r="B51" s="21"/>
      <c r="C51" s="21">
        <v>3.55</v>
      </c>
      <c r="D51" s="21">
        <v>3.58</v>
      </c>
      <c r="E51" s="21">
        <v>3.53</v>
      </c>
      <c r="F51" s="21">
        <v>3.55</v>
      </c>
      <c r="G51" s="21">
        <v>126882001</v>
      </c>
      <c r="H51" s="21">
        <v>450703296</v>
      </c>
    </row>
    <row r="52" spans="1:8" x14ac:dyDescent="0.2">
      <c r="A52" s="20">
        <v>42775</v>
      </c>
      <c r="B52" s="21"/>
      <c r="C52" s="21">
        <v>3.57</v>
      </c>
      <c r="D52" s="21">
        <v>3.58</v>
      </c>
      <c r="E52" s="21">
        <v>3.55</v>
      </c>
      <c r="F52" s="21">
        <v>3.58</v>
      </c>
      <c r="G52" s="21">
        <v>126753361</v>
      </c>
      <c r="H52" s="21">
        <v>452264320</v>
      </c>
    </row>
    <row r="53" spans="1:8" x14ac:dyDescent="0.2">
      <c r="A53" s="20">
        <v>42776</v>
      </c>
      <c r="B53" s="21"/>
      <c r="C53" s="21">
        <v>3.54</v>
      </c>
      <c r="D53" s="21">
        <v>3.57</v>
      </c>
      <c r="E53" s="21">
        <v>3.53</v>
      </c>
      <c r="F53" s="21">
        <v>3.55</v>
      </c>
      <c r="G53" s="21">
        <v>146372377</v>
      </c>
      <c r="H53" s="21">
        <v>518910976</v>
      </c>
    </row>
    <row r="54" spans="1:8" x14ac:dyDescent="0.2">
      <c r="A54" s="20">
        <v>42779</v>
      </c>
      <c r="B54" s="21"/>
      <c r="C54" s="21">
        <v>3.61</v>
      </c>
      <c r="D54" s="21">
        <v>3.69</v>
      </c>
      <c r="E54" s="21">
        <v>3.6</v>
      </c>
      <c r="F54" s="21">
        <v>3.6</v>
      </c>
      <c r="G54" s="21">
        <v>232152006</v>
      </c>
      <c r="H54" s="21">
        <v>843785408</v>
      </c>
    </row>
    <row r="55" spans="1:8" x14ac:dyDescent="0.2">
      <c r="A55" s="20">
        <v>42780</v>
      </c>
      <c r="B55" s="21"/>
      <c r="C55" s="21">
        <v>3.6</v>
      </c>
      <c r="D55" s="21">
        <v>3.63</v>
      </c>
      <c r="E55" s="21">
        <v>3.57</v>
      </c>
      <c r="F55" s="21">
        <v>3.63</v>
      </c>
      <c r="G55" s="21">
        <v>111211725</v>
      </c>
      <c r="H55" s="21">
        <v>399852672</v>
      </c>
    </row>
    <row r="56" spans="1:8" x14ac:dyDescent="0.2">
      <c r="A56" s="20">
        <v>42781</v>
      </c>
      <c r="B56" s="21"/>
      <c r="C56" s="21">
        <v>3.6</v>
      </c>
      <c r="D56" s="21">
        <v>3.62</v>
      </c>
      <c r="E56" s="21">
        <v>3.55</v>
      </c>
      <c r="F56" s="21">
        <v>3.55</v>
      </c>
      <c r="G56" s="21">
        <v>108767911</v>
      </c>
      <c r="H56" s="21">
        <v>390122912</v>
      </c>
    </row>
    <row r="57" spans="1:8" x14ac:dyDescent="0.2">
      <c r="A57" s="20">
        <v>42782</v>
      </c>
      <c r="B57" s="21"/>
      <c r="C57" s="21">
        <v>3.56</v>
      </c>
      <c r="D57" s="21">
        <v>3.66</v>
      </c>
      <c r="E57" s="21">
        <v>3.55</v>
      </c>
      <c r="F57" s="21">
        <v>3.62</v>
      </c>
      <c r="G57" s="21">
        <v>168226530</v>
      </c>
      <c r="H57" s="21">
        <v>608797504</v>
      </c>
    </row>
    <row r="58" spans="1:8" x14ac:dyDescent="0.2">
      <c r="A58" s="20">
        <v>42783</v>
      </c>
      <c r="B58" s="21"/>
      <c r="C58" s="21">
        <v>3.62</v>
      </c>
      <c r="D58" s="21">
        <v>3.64</v>
      </c>
      <c r="E58" s="21">
        <v>3.55</v>
      </c>
      <c r="F58" s="21">
        <v>3.57</v>
      </c>
      <c r="G58" s="21">
        <v>98759019</v>
      </c>
      <c r="H58" s="21">
        <v>354509056</v>
      </c>
    </row>
    <row r="59" spans="1:8" x14ac:dyDescent="0.2">
      <c r="A59" s="20">
        <v>42786</v>
      </c>
      <c r="B59" s="21"/>
      <c r="C59" s="21">
        <v>3.55</v>
      </c>
      <c r="D59" s="21">
        <v>3.63</v>
      </c>
      <c r="E59" s="21">
        <v>3.54</v>
      </c>
      <c r="F59" s="21">
        <v>3.62</v>
      </c>
      <c r="G59" s="21">
        <v>135871591</v>
      </c>
      <c r="H59" s="21">
        <v>488937344</v>
      </c>
    </row>
    <row r="60" spans="1:8" x14ac:dyDescent="0.2">
      <c r="A60" s="20">
        <v>42787</v>
      </c>
      <c r="B60" s="21"/>
      <c r="C60" s="21">
        <v>3.62</v>
      </c>
      <c r="D60" s="21">
        <v>3.65</v>
      </c>
      <c r="E60" s="21">
        <v>3.62</v>
      </c>
      <c r="F60" s="21">
        <v>3.64</v>
      </c>
      <c r="G60" s="21">
        <v>96313423</v>
      </c>
      <c r="H60" s="21">
        <v>349921984</v>
      </c>
    </row>
    <row r="61" spans="1:8" x14ac:dyDescent="0.2">
      <c r="A61" s="20">
        <v>42788</v>
      </c>
      <c r="B61" s="21"/>
      <c r="C61" s="21">
        <v>3.64</v>
      </c>
      <c r="D61" s="21">
        <v>3.65</v>
      </c>
      <c r="E61" s="21">
        <v>3.62</v>
      </c>
      <c r="F61" s="21">
        <v>3.63</v>
      </c>
      <c r="G61" s="21">
        <v>76407950</v>
      </c>
      <c r="H61" s="21">
        <v>277490176</v>
      </c>
    </row>
    <row r="62" spans="1:8" x14ac:dyDescent="0.2">
      <c r="A62" s="20">
        <v>42789</v>
      </c>
      <c r="B62" s="21"/>
      <c r="C62" s="21">
        <v>3.64</v>
      </c>
      <c r="D62" s="21">
        <v>3.68</v>
      </c>
      <c r="E62" s="21">
        <v>3.61</v>
      </c>
      <c r="F62" s="21">
        <v>3.64</v>
      </c>
      <c r="G62" s="21">
        <v>125046688</v>
      </c>
      <c r="H62" s="21">
        <v>456133600</v>
      </c>
    </row>
    <row r="63" spans="1:8" x14ac:dyDescent="0.2">
      <c r="A63" s="20">
        <v>42790</v>
      </c>
      <c r="B63" s="21"/>
      <c r="C63" s="21">
        <v>3.66</v>
      </c>
      <c r="D63" s="21">
        <v>3.66</v>
      </c>
      <c r="E63" s="21">
        <v>3.56</v>
      </c>
      <c r="F63" s="21">
        <v>3.61</v>
      </c>
      <c r="G63" s="21">
        <v>145993559</v>
      </c>
      <c r="H63" s="21">
        <v>526025280</v>
      </c>
    </row>
    <row r="64" spans="1:8" x14ac:dyDescent="0.2">
      <c r="A64" s="20">
        <v>42793</v>
      </c>
      <c r="B64" s="21"/>
      <c r="C64" s="21">
        <v>3.61</v>
      </c>
      <c r="D64" s="21">
        <v>3.65</v>
      </c>
      <c r="E64" s="21">
        <v>3.57</v>
      </c>
      <c r="F64" s="21">
        <v>3.57</v>
      </c>
      <c r="G64" s="21">
        <v>130474890</v>
      </c>
      <c r="H64" s="21">
        <v>470576960</v>
      </c>
    </row>
    <row r="65" spans="1:12" x14ac:dyDescent="0.2">
      <c r="A65" s="20">
        <v>42794</v>
      </c>
      <c r="B65" s="21"/>
      <c r="C65" s="21">
        <v>3.56</v>
      </c>
      <c r="D65" s="21">
        <v>3.58</v>
      </c>
      <c r="E65" s="21">
        <v>3.54</v>
      </c>
      <c r="F65" s="21">
        <v>3.57</v>
      </c>
      <c r="G65" s="21">
        <v>75580748</v>
      </c>
      <c r="H65" s="21">
        <v>268818976</v>
      </c>
    </row>
    <row r="66" spans="1:12" x14ac:dyDescent="0.2">
      <c r="A66" s="16">
        <v>42795</v>
      </c>
      <c r="B66" s="17"/>
      <c r="C66" s="17">
        <v>3.55</v>
      </c>
      <c r="D66" s="17">
        <v>3.59</v>
      </c>
      <c r="E66" s="17">
        <v>3.53</v>
      </c>
      <c r="F66" s="17">
        <v>3.57</v>
      </c>
      <c r="G66" s="17">
        <v>89169381</v>
      </c>
      <c r="H66" s="17">
        <v>317345120</v>
      </c>
      <c r="I66" s="18">
        <f>SUM(F61:F65)/5</f>
        <v>3.6040000000000001</v>
      </c>
      <c r="J66" s="18">
        <f>SUM(F56:F65)/10</f>
        <v>3.6019999999999994</v>
      </c>
      <c r="K66" s="18">
        <f>SUM(F46:F65)/20</f>
        <v>3.5854999999999997</v>
      </c>
      <c r="L66" s="18">
        <f>SUM(F6:F65)/60</f>
        <v>3.4893333333333336</v>
      </c>
    </row>
    <row r="67" spans="1:12" x14ac:dyDescent="0.2">
      <c r="A67" s="16">
        <v>42796</v>
      </c>
      <c r="B67" s="17"/>
      <c r="C67" s="17">
        <v>3.56</v>
      </c>
      <c r="D67" s="17">
        <v>3.57</v>
      </c>
      <c r="E67" s="17">
        <v>3.53</v>
      </c>
      <c r="F67" s="17">
        <v>3.53</v>
      </c>
      <c r="G67" s="17">
        <v>76853145</v>
      </c>
      <c r="H67" s="17">
        <v>272844224</v>
      </c>
      <c r="I67" s="18">
        <f t="shared" ref="I67:I88" si="0">SUM(F62:F66)/5</f>
        <v>3.5920000000000001</v>
      </c>
      <c r="J67" s="18">
        <f t="shared" ref="J67:J88" si="1">SUM(F57:F66)/10</f>
        <v>3.6040000000000001</v>
      </c>
      <c r="K67" s="18">
        <f t="shared" ref="K67:K88" si="2">SUM(F47:F66)/20</f>
        <v>3.5884999999999989</v>
      </c>
      <c r="L67" s="18">
        <f t="shared" ref="L67:L88" si="3">SUM(F7:F66)/60</f>
        <v>3.4878333333333336</v>
      </c>
    </row>
    <row r="68" spans="1:12" x14ac:dyDescent="0.2">
      <c r="A68" s="16">
        <v>42797</v>
      </c>
      <c r="B68" s="17"/>
      <c r="C68" s="17">
        <v>3.5</v>
      </c>
      <c r="D68" s="17">
        <v>3.5</v>
      </c>
      <c r="E68" s="17">
        <v>3.43</v>
      </c>
      <c r="F68" s="17">
        <v>3.45</v>
      </c>
      <c r="G68" s="17">
        <v>144520454</v>
      </c>
      <c r="H68" s="17">
        <v>499821568</v>
      </c>
      <c r="I68" s="18">
        <f t="shared" si="0"/>
        <v>3.5700000000000003</v>
      </c>
      <c r="J68" s="18">
        <f t="shared" si="1"/>
        <v>3.5950000000000002</v>
      </c>
      <c r="K68" s="18">
        <f t="shared" si="2"/>
        <v>3.5859999999999994</v>
      </c>
      <c r="L68" s="18">
        <f t="shared" si="3"/>
        <v>3.4873333333333334</v>
      </c>
    </row>
    <row r="69" spans="1:12" x14ac:dyDescent="0.2">
      <c r="A69" s="16">
        <v>42800</v>
      </c>
      <c r="B69" s="17"/>
      <c r="C69" s="17">
        <v>3.46</v>
      </c>
      <c r="D69" s="17">
        <v>3.47</v>
      </c>
      <c r="E69" s="17">
        <v>3.44</v>
      </c>
      <c r="F69" s="17">
        <v>3.47</v>
      </c>
      <c r="G69" s="17">
        <v>71277967</v>
      </c>
      <c r="H69" s="17">
        <v>246336288</v>
      </c>
      <c r="I69" s="18">
        <f t="shared" si="0"/>
        <v>3.5379999999999994</v>
      </c>
      <c r="J69" s="18">
        <f t="shared" si="1"/>
        <v>3.5830000000000006</v>
      </c>
      <c r="K69" s="18">
        <f t="shared" si="2"/>
        <v>3.5800000000000005</v>
      </c>
      <c r="L69" s="18">
        <f t="shared" si="3"/>
        <v>3.484</v>
      </c>
    </row>
    <row r="70" spans="1:12" x14ac:dyDescent="0.2">
      <c r="A70" s="16">
        <v>42801</v>
      </c>
      <c r="B70" s="17"/>
      <c r="C70" s="17">
        <v>3.46</v>
      </c>
      <c r="D70" s="17">
        <v>3.46</v>
      </c>
      <c r="E70" s="17">
        <v>3.44</v>
      </c>
      <c r="F70" s="17">
        <v>3.46</v>
      </c>
      <c r="G70" s="17">
        <v>69486916</v>
      </c>
      <c r="H70" s="17">
        <v>239540736</v>
      </c>
      <c r="I70" s="18">
        <f t="shared" si="0"/>
        <v>3.5179999999999998</v>
      </c>
      <c r="J70" s="18">
        <f t="shared" si="1"/>
        <v>3.5680000000000001</v>
      </c>
      <c r="K70" s="18">
        <f t="shared" si="2"/>
        <v>3.5765000000000002</v>
      </c>
      <c r="L70" s="18">
        <f t="shared" si="3"/>
        <v>3.4823333333333335</v>
      </c>
    </row>
    <row r="71" spans="1:12" x14ac:dyDescent="0.2">
      <c r="A71" s="16">
        <v>42802</v>
      </c>
      <c r="B71" s="17"/>
      <c r="C71" s="17">
        <v>3.44</v>
      </c>
      <c r="D71" s="17">
        <v>3.44</v>
      </c>
      <c r="E71" s="17">
        <v>3.42</v>
      </c>
      <c r="F71" s="17">
        <v>3.44</v>
      </c>
      <c r="G71" s="17">
        <v>63176685</v>
      </c>
      <c r="H71" s="17">
        <v>216645808</v>
      </c>
      <c r="I71" s="18">
        <f t="shared" si="0"/>
        <v>3.496</v>
      </c>
      <c r="J71" s="18">
        <f t="shared" si="1"/>
        <v>3.55</v>
      </c>
      <c r="K71" s="18">
        <f t="shared" si="2"/>
        <v>3.5705</v>
      </c>
      <c r="L71" s="18">
        <f t="shared" si="3"/>
        <v>3.4816666666666669</v>
      </c>
    </row>
    <row r="72" spans="1:12" x14ac:dyDescent="0.2">
      <c r="A72" s="16">
        <v>42803</v>
      </c>
      <c r="B72" s="17"/>
      <c r="C72" s="17">
        <v>3.41</v>
      </c>
      <c r="D72" s="17">
        <v>3.41</v>
      </c>
      <c r="E72" s="17">
        <v>3.38</v>
      </c>
      <c r="F72" s="17">
        <v>3.39</v>
      </c>
      <c r="G72" s="17">
        <v>98834860</v>
      </c>
      <c r="H72" s="17">
        <v>335124352</v>
      </c>
      <c r="I72" s="18">
        <f t="shared" si="0"/>
        <v>3.47</v>
      </c>
      <c r="J72" s="18">
        <f t="shared" si="1"/>
        <v>3.5310000000000001</v>
      </c>
      <c r="K72" s="18">
        <f t="shared" si="2"/>
        <v>3.5649999999999999</v>
      </c>
      <c r="L72" s="18">
        <f t="shared" si="3"/>
        <v>3.4811666666666667</v>
      </c>
    </row>
    <row r="73" spans="1:12" x14ac:dyDescent="0.2">
      <c r="A73" s="16">
        <v>42804</v>
      </c>
      <c r="B73" s="17"/>
      <c r="C73" s="17">
        <v>3.38</v>
      </c>
      <c r="D73" s="17">
        <v>3.41</v>
      </c>
      <c r="E73" s="17">
        <v>3.37</v>
      </c>
      <c r="F73" s="17">
        <v>3.4</v>
      </c>
      <c r="G73" s="17">
        <v>51034883</v>
      </c>
      <c r="H73" s="17">
        <v>173161184</v>
      </c>
      <c r="I73" s="18">
        <f t="shared" si="0"/>
        <v>3.4419999999999993</v>
      </c>
      <c r="J73" s="18">
        <f t="shared" si="1"/>
        <v>3.5060000000000002</v>
      </c>
      <c r="K73" s="18">
        <f t="shared" si="2"/>
        <v>3.5554999999999999</v>
      </c>
      <c r="L73" s="18">
        <f t="shared" si="3"/>
        <v>3.4796666666666662</v>
      </c>
    </row>
    <row r="74" spans="1:12" x14ac:dyDescent="0.2">
      <c r="A74" s="16">
        <v>42807</v>
      </c>
      <c r="B74" s="17"/>
      <c r="C74" s="17">
        <v>3.4</v>
      </c>
      <c r="D74" s="17">
        <v>3.46</v>
      </c>
      <c r="E74" s="17">
        <v>3.39</v>
      </c>
      <c r="F74" s="17">
        <v>3.46</v>
      </c>
      <c r="G74" s="17">
        <v>100126928</v>
      </c>
      <c r="H74" s="17">
        <v>343823200</v>
      </c>
      <c r="I74" s="18">
        <f t="shared" si="0"/>
        <v>3.4319999999999999</v>
      </c>
      <c r="J74" s="18">
        <f t="shared" si="1"/>
        <v>3.4850000000000003</v>
      </c>
      <c r="K74" s="18">
        <f t="shared" si="2"/>
        <v>3.5480000000000005</v>
      </c>
      <c r="L74" s="18">
        <f t="shared" si="3"/>
        <v>3.477666666666666</v>
      </c>
    </row>
    <row r="75" spans="1:12" x14ac:dyDescent="0.2">
      <c r="A75" s="16">
        <v>42808</v>
      </c>
      <c r="B75" s="17"/>
      <c r="C75" s="17">
        <v>3.45</v>
      </c>
      <c r="D75" s="17">
        <v>3.46</v>
      </c>
      <c r="E75" s="17">
        <v>3.43</v>
      </c>
      <c r="F75" s="17">
        <v>3.44</v>
      </c>
      <c r="G75" s="17">
        <v>55696381</v>
      </c>
      <c r="H75" s="17">
        <v>191752576</v>
      </c>
      <c r="I75" s="18">
        <f t="shared" si="0"/>
        <v>3.4300000000000006</v>
      </c>
      <c r="J75" s="18">
        <f t="shared" si="1"/>
        <v>3.4740000000000002</v>
      </c>
      <c r="K75" s="18">
        <f t="shared" si="2"/>
        <v>3.5410000000000004</v>
      </c>
      <c r="L75" s="18">
        <f t="shared" si="3"/>
        <v>3.4766666666666661</v>
      </c>
    </row>
    <row r="76" spans="1:12" x14ac:dyDescent="0.2">
      <c r="A76" s="16">
        <v>42809</v>
      </c>
      <c r="B76" s="17"/>
      <c r="C76" s="17">
        <v>3.43</v>
      </c>
      <c r="D76" s="17">
        <v>3.47</v>
      </c>
      <c r="E76" s="17">
        <v>3.42</v>
      </c>
      <c r="F76" s="17">
        <v>3.46</v>
      </c>
      <c r="G76" s="17">
        <v>55938487</v>
      </c>
      <c r="H76" s="17">
        <v>192850976</v>
      </c>
      <c r="I76" s="18">
        <f t="shared" si="0"/>
        <v>3.4260000000000006</v>
      </c>
      <c r="J76" s="18">
        <f t="shared" si="1"/>
        <v>3.4609999999999999</v>
      </c>
      <c r="K76" s="18">
        <f t="shared" si="2"/>
        <v>3.5314999999999999</v>
      </c>
      <c r="L76" s="18">
        <f t="shared" si="3"/>
        <v>3.4771666666666663</v>
      </c>
    </row>
    <row r="77" spans="1:12" x14ac:dyDescent="0.2">
      <c r="A77" s="16">
        <v>42810</v>
      </c>
      <c r="B77" s="17"/>
      <c r="C77" s="17">
        <v>3.5</v>
      </c>
      <c r="D77" s="17">
        <v>3.51</v>
      </c>
      <c r="E77" s="17">
        <v>3.46</v>
      </c>
      <c r="F77" s="17">
        <v>3.48</v>
      </c>
      <c r="G77" s="17">
        <v>86167602</v>
      </c>
      <c r="H77" s="17">
        <v>299955424</v>
      </c>
      <c r="I77" s="18">
        <f t="shared" si="0"/>
        <v>3.4299999999999997</v>
      </c>
      <c r="J77" s="18">
        <f t="shared" si="1"/>
        <v>3.45</v>
      </c>
      <c r="K77" s="18">
        <f t="shared" si="2"/>
        <v>3.5269999999999997</v>
      </c>
      <c r="L77" s="18">
        <f t="shared" si="3"/>
        <v>3.4774999999999991</v>
      </c>
    </row>
    <row r="78" spans="1:12" x14ac:dyDescent="0.2">
      <c r="A78" s="16">
        <v>42811</v>
      </c>
      <c r="B78" s="17"/>
      <c r="C78" s="17">
        <v>3.48</v>
      </c>
      <c r="D78" s="17">
        <v>3.5</v>
      </c>
      <c r="E78" s="17">
        <v>3.44</v>
      </c>
      <c r="F78" s="17">
        <v>3.45</v>
      </c>
      <c r="G78" s="17">
        <v>61361000</v>
      </c>
      <c r="H78" s="17">
        <v>213085120</v>
      </c>
      <c r="I78" s="18">
        <f t="shared" si="0"/>
        <v>3.4479999999999995</v>
      </c>
      <c r="J78" s="18">
        <f t="shared" si="1"/>
        <v>3.4449999999999994</v>
      </c>
      <c r="K78" s="18">
        <f t="shared" si="2"/>
        <v>3.5200000000000005</v>
      </c>
      <c r="L78" s="18">
        <f t="shared" si="3"/>
        <v>3.4763333333333324</v>
      </c>
    </row>
    <row r="79" spans="1:12" x14ac:dyDescent="0.2">
      <c r="A79" s="16">
        <v>42814</v>
      </c>
      <c r="B79" s="17"/>
      <c r="C79" s="17">
        <v>3.45</v>
      </c>
      <c r="D79" s="17">
        <v>3.52</v>
      </c>
      <c r="E79" s="17">
        <v>3.45</v>
      </c>
      <c r="F79" s="17">
        <v>3.5</v>
      </c>
      <c r="G79" s="17">
        <v>99115773</v>
      </c>
      <c r="H79" s="17">
        <v>345843232</v>
      </c>
      <c r="I79" s="18">
        <f t="shared" si="0"/>
        <v>3.4579999999999997</v>
      </c>
      <c r="J79" s="18">
        <f t="shared" si="1"/>
        <v>3.4450000000000003</v>
      </c>
      <c r="K79" s="18">
        <f t="shared" si="2"/>
        <v>3.5140000000000002</v>
      </c>
      <c r="L79" s="18">
        <f t="shared" si="3"/>
        <v>3.4758333333333322</v>
      </c>
    </row>
    <row r="80" spans="1:12" x14ac:dyDescent="0.2">
      <c r="A80" s="16">
        <v>42815</v>
      </c>
      <c r="B80" s="17"/>
      <c r="C80" s="17">
        <v>3.49</v>
      </c>
      <c r="D80" s="17">
        <v>3.5</v>
      </c>
      <c r="E80" s="17">
        <v>3.45</v>
      </c>
      <c r="F80" s="17">
        <v>3.47</v>
      </c>
      <c r="G80" s="17">
        <v>64973674</v>
      </c>
      <c r="H80" s="17">
        <v>225207840</v>
      </c>
      <c r="I80" s="18">
        <f t="shared" si="0"/>
        <v>3.4660000000000002</v>
      </c>
      <c r="J80" s="18">
        <f t="shared" si="1"/>
        <v>3.4480000000000004</v>
      </c>
      <c r="K80" s="18">
        <f t="shared" si="2"/>
        <v>3.508</v>
      </c>
      <c r="L80" s="18">
        <f t="shared" si="3"/>
        <v>3.4764999999999988</v>
      </c>
    </row>
    <row r="81" spans="1:13" x14ac:dyDescent="0.2">
      <c r="A81" s="16">
        <v>42816</v>
      </c>
      <c r="B81" s="17"/>
      <c r="C81" s="17">
        <v>3.49</v>
      </c>
      <c r="D81" s="17">
        <v>3.5</v>
      </c>
      <c r="E81" s="17">
        <v>3.44</v>
      </c>
      <c r="F81" s="17">
        <v>3.46</v>
      </c>
      <c r="G81" s="17">
        <v>92110439</v>
      </c>
      <c r="H81" s="17">
        <v>319030848</v>
      </c>
      <c r="I81" s="18">
        <f t="shared" si="0"/>
        <v>3.472</v>
      </c>
      <c r="J81" s="18">
        <f t="shared" si="1"/>
        <v>3.4490000000000003</v>
      </c>
      <c r="K81" s="18">
        <f t="shared" si="2"/>
        <v>3.4994999999999998</v>
      </c>
      <c r="L81" s="18">
        <f t="shared" si="3"/>
        <v>3.4766666666666657</v>
      </c>
    </row>
    <row r="82" spans="1:13" x14ac:dyDescent="0.2">
      <c r="A82" s="16">
        <v>42817</v>
      </c>
      <c r="B82" s="17"/>
      <c r="C82" s="17">
        <v>3.46</v>
      </c>
      <c r="D82" s="17">
        <v>3.48</v>
      </c>
      <c r="E82" s="17">
        <v>3.42</v>
      </c>
      <c r="F82" s="17">
        <v>3.46</v>
      </c>
      <c r="G82" s="17">
        <v>90045247</v>
      </c>
      <c r="H82" s="17">
        <v>310382656</v>
      </c>
      <c r="I82" s="18">
        <f t="shared" si="0"/>
        <v>3.472</v>
      </c>
      <c r="J82" s="18">
        <f t="shared" si="1"/>
        <v>3.4509999999999996</v>
      </c>
      <c r="K82" s="18">
        <f t="shared" si="2"/>
        <v>3.4909999999999997</v>
      </c>
      <c r="L82" s="18">
        <f t="shared" si="3"/>
        <v>3.477833333333332</v>
      </c>
    </row>
    <row r="83" spans="1:13" x14ac:dyDescent="0.2">
      <c r="A83" s="16">
        <v>42818</v>
      </c>
      <c r="B83" s="17"/>
      <c r="C83" s="17">
        <v>3.44</v>
      </c>
      <c r="D83" s="17">
        <v>3.45</v>
      </c>
      <c r="E83" s="17">
        <v>3.4</v>
      </c>
      <c r="F83" s="17">
        <v>3.42</v>
      </c>
      <c r="G83" s="17">
        <v>125655432</v>
      </c>
      <c r="H83" s="17">
        <v>429357728</v>
      </c>
      <c r="I83" s="18">
        <f t="shared" si="0"/>
        <v>3.468</v>
      </c>
      <c r="J83" s="18">
        <f t="shared" si="1"/>
        <v>3.4579999999999997</v>
      </c>
      <c r="K83" s="18">
        <f t="shared" si="2"/>
        <v>3.4819999999999993</v>
      </c>
      <c r="L83" s="18">
        <f t="shared" si="3"/>
        <v>3.478499999999999</v>
      </c>
    </row>
    <row r="84" spans="1:13" x14ac:dyDescent="0.2">
      <c r="A84" s="16">
        <v>42821</v>
      </c>
      <c r="B84" s="17"/>
      <c r="C84" s="17">
        <v>3.43</v>
      </c>
      <c r="D84" s="17">
        <v>3.48</v>
      </c>
      <c r="E84" s="17">
        <v>3.42</v>
      </c>
      <c r="F84" s="17">
        <v>3.47</v>
      </c>
      <c r="G84" s="17">
        <v>125514511</v>
      </c>
      <c r="H84" s="17">
        <v>433164288</v>
      </c>
      <c r="I84" s="18">
        <f t="shared" si="0"/>
        <v>3.4620000000000006</v>
      </c>
      <c r="J84" s="18">
        <f t="shared" si="1"/>
        <v>3.46</v>
      </c>
      <c r="K84" s="18">
        <f t="shared" si="2"/>
        <v>3.4725000000000001</v>
      </c>
      <c r="L84" s="18">
        <f t="shared" si="3"/>
        <v>3.4789999999999988</v>
      </c>
    </row>
    <row r="85" spans="1:13" x14ac:dyDescent="0.2">
      <c r="A85" s="16">
        <v>42822</v>
      </c>
      <c r="B85" s="17"/>
      <c r="C85" s="17">
        <v>3.45</v>
      </c>
      <c r="D85" s="17">
        <v>3.46</v>
      </c>
      <c r="E85" s="17">
        <v>3.43</v>
      </c>
      <c r="F85" s="17">
        <v>3.44</v>
      </c>
      <c r="G85" s="17">
        <v>64817253</v>
      </c>
      <c r="H85" s="17">
        <v>223228896</v>
      </c>
      <c r="I85" s="18">
        <f t="shared" si="0"/>
        <v>3.4560000000000004</v>
      </c>
      <c r="J85" s="18">
        <f t="shared" si="1"/>
        <v>3.4609999999999999</v>
      </c>
      <c r="K85" s="18">
        <f t="shared" si="2"/>
        <v>3.4674999999999998</v>
      </c>
      <c r="L85" s="18">
        <f t="shared" si="3"/>
        <v>3.4811666666666659</v>
      </c>
    </row>
    <row r="86" spans="1:13" x14ac:dyDescent="0.2">
      <c r="A86" s="16">
        <v>42823</v>
      </c>
      <c r="B86" s="17"/>
      <c r="C86" s="17">
        <v>3.44</v>
      </c>
      <c r="D86" s="17">
        <v>3.47</v>
      </c>
      <c r="E86" s="17">
        <v>3.44</v>
      </c>
      <c r="F86" s="17">
        <v>3.46</v>
      </c>
      <c r="G86" s="17">
        <v>75753919</v>
      </c>
      <c r="H86" s="17">
        <v>261905584</v>
      </c>
      <c r="I86" s="18">
        <f t="shared" si="0"/>
        <v>3.45</v>
      </c>
      <c r="J86" s="18">
        <f t="shared" si="1"/>
        <v>3.4609999999999999</v>
      </c>
      <c r="K86" s="18">
        <f t="shared" si="2"/>
        <v>3.4609999999999999</v>
      </c>
      <c r="L86" s="18">
        <f t="shared" si="3"/>
        <v>3.4834999999999994</v>
      </c>
    </row>
    <row r="87" spans="1:13" x14ac:dyDescent="0.2">
      <c r="A87" s="16">
        <v>42824</v>
      </c>
      <c r="B87" s="17"/>
      <c r="C87" s="17">
        <v>3.46</v>
      </c>
      <c r="D87" s="17">
        <v>3.46</v>
      </c>
      <c r="E87" s="17">
        <v>3.36</v>
      </c>
      <c r="F87" s="17">
        <v>3.4</v>
      </c>
      <c r="G87" s="17">
        <v>126224790</v>
      </c>
      <c r="H87" s="17">
        <v>429396224</v>
      </c>
      <c r="I87" s="18">
        <f t="shared" si="0"/>
        <v>3.45</v>
      </c>
      <c r="J87" s="18">
        <f t="shared" si="1"/>
        <v>3.4609999999999999</v>
      </c>
      <c r="K87" s="18">
        <f t="shared" si="2"/>
        <v>3.4554999999999998</v>
      </c>
      <c r="L87" s="18">
        <f t="shared" si="3"/>
        <v>3.4861666666666662</v>
      </c>
    </row>
    <row r="88" spans="1:13" x14ac:dyDescent="0.2">
      <c r="A88" s="16">
        <v>42825</v>
      </c>
      <c r="B88" s="17"/>
      <c r="C88" s="17">
        <v>3.38</v>
      </c>
      <c r="D88" s="17">
        <v>3.4</v>
      </c>
      <c r="E88" s="17">
        <v>3.36</v>
      </c>
      <c r="F88" s="17">
        <v>3.38</v>
      </c>
      <c r="G88" s="17">
        <v>99857543</v>
      </c>
      <c r="H88" s="17">
        <v>337061152</v>
      </c>
      <c r="I88" s="18">
        <f t="shared" si="0"/>
        <v>3.4379999999999997</v>
      </c>
      <c r="J88" s="18">
        <f t="shared" si="1"/>
        <v>3.4530000000000003</v>
      </c>
      <c r="K88" s="18">
        <f t="shared" si="2"/>
        <v>3.4490000000000003</v>
      </c>
      <c r="L88" s="18">
        <f t="shared" si="3"/>
        <v>3.4878333333333327</v>
      </c>
    </row>
    <row r="89" spans="1:13" x14ac:dyDescent="0.2">
      <c r="A89" s="10">
        <v>42830</v>
      </c>
      <c r="C89">
        <v>3.39</v>
      </c>
      <c r="D89">
        <v>3.42</v>
      </c>
      <c r="E89">
        <v>3.39</v>
      </c>
      <c r="F89">
        <v>3.42</v>
      </c>
      <c r="G89">
        <v>123210632</v>
      </c>
      <c r="H89">
        <v>419520000</v>
      </c>
      <c r="I89" s="13">
        <f t="shared" ref="I89" si="4">SUM(F84:F88)/5</f>
        <v>3.4300000000000006</v>
      </c>
      <c r="J89" s="13">
        <f t="shared" ref="J89" si="5">SUM(F79:F88)/10</f>
        <v>3.4460000000000002</v>
      </c>
      <c r="K89" s="13">
        <f t="shared" ref="K89" si="6">SUM(F69:F88)/20</f>
        <v>3.4455</v>
      </c>
      <c r="L89" s="13">
        <f t="shared" ref="L89" si="7">SUM(F29:F88)/60</f>
        <v>3.4884999999999993</v>
      </c>
      <c r="M89" t="s">
        <v>82</v>
      </c>
    </row>
    <row r="90" spans="1:13" x14ac:dyDescent="0.2">
      <c r="A90" s="10">
        <v>42831</v>
      </c>
      <c r="C90">
        <v>3.41</v>
      </c>
      <c r="D90">
        <v>3.47</v>
      </c>
      <c r="E90">
        <v>3.4</v>
      </c>
      <c r="F90">
        <v>3.46</v>
      </c>
      <c r="G90">
        <v>138195288</v>
      </c>
      <c r="H90">
        <v>476278560</v>
      </c>
      <c r="I90" s="13">
        <f t="shared" ref="I90:I106" si="8">SUM(F85:F89)/5</f>
        <v>3.4200000000000004</v>
      </c>
      <c r="J90" s="13">
        <f t="shared" ref="J90:J106" si="9">SUM(F80:F89)/10</f>
        <v>3.4380000000000002</v>
      </c>
      <c r="K90" s="13">
        <f t="shared" ref="K90:K106" si="10">SUM(F70:F89)/20</f>
        <v>3.4430000000000001</v>
      </c>
      <c r="L90" s="13">
        <f t="shared" ref="L90:L106" si="11">SUM(F30:F89)/60</f>
        <v>3.489833333333332</v>
      </c>
    </row>
    <row r="91" spans="1:13" x14ac:dyDescent="0.2">
      <c r="A91" s="10">
        <v>42832</v>
      </c>
      <c r="C91">
        <v>3.46</v>
      </c>
      <c r="D91">
        <v>3.62</v>
      </c>
      <c r="E91">
        <v>3.45</v>
      </c>
      <c r="F91">
        <v>3.56</v>
      </c>
      <c r="G91">
        <v>387706781</v>
      </c>
      <c r="H91">
        <v>1380590720</v>
      </c>
      <c r="I91" s="13">
        <f t="shared" si="8"/>
        <v>3.4239999999999995</v>
      </c>
      <c r="J91" s="13">
        <f t="shared" si="9"/>
        <v>3.4369999999999998</v>
      </c>
      <c r="K91" s="13">
        <f t="shared" si="10"/>
        <v>3.4430000000000001</v>
      </c>
      <c r="L91" s="13">
        <f t="shared" si="11"/>
        <v>3.4914999999999989</v>
      </c>
      <c r="M91" t="s">
        <v>60</v>
      </c>
    </row>
    <row r="92" spans="1:13" x14ac:dyDescent="0.2">
      <c r="A92" s="10">
        <v>42835</v>
      </c>
      <c r="C92">
        <v>3.5</v>
      </c>
      <c r="D92">
        <v>3.52</v>
      </c>
      <c r="E92">
        <v>3.48</v>
      </c>
      <c r="F92">
        <v>3.51</v>
      </c>
      <c r="G92">
        <v>143286724</v>
      </c>
      <c r="H92">
        <v>500959456</v>
      </c>
      <c r="I92" s="13">
        <f t="shared" si="8"/>
        <v>3.444</v>
      </c>
      <c r="J92" s="13">
        <f t="shared" si="9"/>
        <v>3.4470000000000001</v>
      </c>
      <c r="K92" s="13">
        <f t="shared" si="10"/>
        <v>3.4490000000000003</v>
      </c>
      <c r="L92" s="13">
        <f t="shared" si="11"/>
        <v>3.4946666666666659</v>
      </c>
      <c r="M92" t="s">
        <v>61</v>
      </c>
    </row>
    <row r="93" spans="1:13" x14ac:dyDescent="0.2">
      <c r="A93" s="10">
        <v>42836</v>
      </c>
      <c r="C93">
        <v>3.49</v>
      </c>
      <c r="D93">
        <v>3.6</v>
      </c>
      <c r="E93">
        <v>3.48</v>
      </c>
      <c r="F93">
        <v>3.57</v>
      </c>
      <c r="G93">
        <v>242283433</v>
      </c>
      <c r="H93">
        <v>860595008</v>
      </c>
      <c r="I93" s="13">
        <f t="shared" si="8"/>
        <v>3.4659999999999997</v>
      </c>
      <c r="J93" s="13">
        <f t="shared" si="9"/>
        <v>3.4519999999999995</v>
      </c>
      <c r="K93" s="13">
        <f t="shared" si="10"/>
        <v>3.4550000000000005</v>
      </c>
      <c r="L93" s="13">
        <f t="shared" si="11"/>
        <v>3.4963333333333324</v>
      </c>
    </row>
    <row r="94" spans="1:13" x14ac:dyDescent="0.2">
      <c r="A94" s="10">
        <v>42837</v>
      </c>
      <c r="C94">
        <v>3.62</v>
      </c>
      <c r="D94">
        <v>3.64</v>
      </c>
      <c r="E94">
        <v>3.55</v>
      </c>
      <c r="F94">
        <v>3.57</v>
      </c>
      <c r="G94">
        <v>213761460</v>
      </c>
      <c r="H94">
        <v>769407744</v>
      </c>
      <c r="I94" s="13">
        <f t="shared" si="8"/>
        <v>3.504</v>
      </c>
      <c r="J94" s="13">
        <f t="shared" si="9"/>
        <v>3.4670000000000001</v>
      </c>
      <c r="K94" s="13">
        <f t="shared" si="10"/>
        <v>3.4634999999999998</v>
      </c>
      <c r="L94" s="13">
        <f t="shared" si="11"/>
        <v>3.4994999999999989</v>
      </c>
      <c r="M94" t="s">
        <v>75</v>
      </c>
    </row>
    <row r="95" spans="1:13" x14ac:dyDescent="0.2">
      <c r="A95" s="10">
        <v>42838</v>
      </c>
      <c r="C95">
        <v>3.6</v>
      </c>
      <c r="D95">
        <v>3.61</v>
      </c>
      <c r="E95">
        <v>3.56</v>
      </c>
      <c r="F95">
        <v>3.58</v>
      </c>
      <c r="G95">
        <v>98934558</v>
      </c>
      <c r="H95">
        <v>354118560</v>
      </c>
      <c r="I95" s="13">
        <f t="shared" si="8"/>
        <v>3.5339999999999998</v>
      </c>
      <c r="J95" s="13">
        <f t="shared" si="9"/>
        <v>3.4770000000000003</v>
      </c>
      <c r="K95" s="13">
        <f t="shared" si="10"/>
        <v>3.4689999999999999</v>
      </c>
      <c r="L95" s="13">
        <f t="shared" si="11"/>
        <v>3.5028333333333324</v>
      </c>
    </row>
    <row r="96" spans="1:13" x14ac:dyDescent="0.2">
      <c r="A96" s="10">
        <v>42839</v>
      </c>
      <c r="C96">
        <v>3.59</v>
      </c>
      <c r="D96">
        <v>3.65</v>
      </c>
      <c r="E96">
        <v>3.57</v>
      </c>
      <c r="F96">
        <v>3.62</v>
      </c>
      <c r="G96">
        <v>247270337</v>
      </c>
      <c r="H96">
        <v>894840256</v>
      </c>
      <c r="I96" s="13">
        <f t="shared" si="8"/>
        <v>3.5579999999999998</v>
      </c>
      <c r="J96" s="13">
        <f t="shared" si="9"/>
        <v>3.4909999999999997</v>
      </c>
      <c r="K96" s="13">
        <f t="shared" si="10"/>
        <v>3.476</v>
      </c>
      <c r="L96" s="13">
        <f t="shared" si="11"/>
        <v>3.5058333333333325</v>
      </c>
    </row>
    <row r="97" spans="1:13" x14ac:dyDescent="0.2">
      <c r="A97" s="10">
        <v>42842</v>
      </c>
      <c r="C97">
        <v>3.58</v>
      </c>
      <c r="D97">
        <v>3.59</v>
      </c>
      <c r="E97">
        <v>3.49</v>
      </c>
      <c r="F97">
        <v>3.53</v>
      </c>
      <c r="G97">
        <v>157567308</v>
      </c>
      <c r="H97">
        <v>555898752</v>
      </c>
      <c r="I97" s="13">
        <f t="shared" si="8"/>
        <v>3.5700000000000003</v>
      </c>
      <c r="J97" s="13">
        <f t="shared" si="9"/>
        <v>3.5069999999999992</v>
      </c>
      <c r="K97" s="13">
        <f t="shared" si="10"/>
        <v>3.4840000000000004</v>
      </c>
      <c r="L97" s="13">
        <f t="shared" si="11"/>
        <v>3.5093333333333323</v>
      </c>
      <c r="M97" t="s">
        <v>62</v>
      </c>
    </row>
    <row r="98" spans="1:13" x14ac:dyDescent="0.2">
      <c r="A98" s="10">
        <v>42843</v>
      </c>
      <c r="C98">
        <v>3.51</v>
      </c>
      <c r="D98">
        <v>3.52</v>
      </c>
      <c r="E98">
        <v>3.47</v>
      </c>
      <c r="F98">
        <v>3.47</v>
      </c>
      <c r="G98">
        <v>80474039</v>
      </c>
      <c r="H98">
        <v>281157504</v>
      </c>
      <c r="I98" s="13">
        <f t="shared" si="8"/>
        <v>3.5740000000000003</v>
      </c>
      <c r="J98" s="13">
        <f t="shared" si="9"/>
        <v>3.5199999999999996</v>
      </c>
      <c r="K98" s="13">
        <f t="shared" si="10"/>
        <v>3.4865000000000004</v>
      </c>
      <c r="L98" s="13">
        <f t="shared" si="11"/>
        <v>3.5114999999999994</v>
      </c>
      <c r="M98" t="s">
        <v>63</v>
      </c>
    </row>
    <row r="99" spans="1:13" x14ac:dyDescent="0.2">
      <c r="A99" s="10">
        <v>42844</v>
      </c>
      <c r="C99">
        <v>3.5</v>
      </c>
      <c r="D99">
        <v>3.55</v>
      </c>
      <c r="E99">
        <v>3.44</v>
      </c>
      <c r="F99">
        <v>3.49</v>
      </c>
      <c r="G99">
        <v>170506485</v>
      </c>
      <c r="H99">
        <v>594911808</v>
      </c>
      <c r="I99" s="13">
        <f t="shared" si="8"/>
        <v>3.5539999999999998</v>
      </c>
      <c r="J99" s="13">
        <f t="shared" si="9"/>
        <v>3.5290000000000008</v>
      </c>
      <c r="K99" s="13">
        <f t="shared" si="10"/>
        <v>3.4874999999999998</v>
      </c>
      <c r="L99" s="13">
        <f t="shared" si="11"/>
        <v>3.5124999999999988</v>
      </c>
    </row>
    <row r="100" spans="1:13" x14ac:dyDescent="0.2">
      <c r="A100" s="10">
        <v>42845</v>
      </c>
      <c r="C100">
        <v>3.46</v>
      </c>
      <c r="D100">
        <v>3.47</v>
      </c>
      <c r="E100">
        <v>3.4</v>
      </c>
      <c r="F100">
        <v>3.43</v>
      </c>
      <c r="G100">
        <v>107461822</v>
      </c>
      <c r="H100">
        <v>368713376</v>
      </c>
      <c r="I100" s="13">
        <f t="shared" si="8"/>
        <v>3.5380000000000003</v>
      </c>
      <c r="J100" s="13">
        <f t="shared" si="9"/>
        <v>3.536</v>
      </c>
      <c r="K100" s="13">
        <f t="shared" si="10"/>
        <v>3.4869999999999997</v>
      </c>
      <c r="L100" s="13">
        <f t="shared" si="11"/>
        <v>3.5131666666666654</v>
      </c>
    </row>
    <row r="101" spans="1:13" x14ac:dyDescent="0.2">
      <c r="A101" s="10">
        <v>42846</v>
      </c>
      <c r="C101">
        <v>3.44</v>
      </c>
      <c r="D101">
        <v>3.45</v>
      </c>
      <c r="E101">
        <v>3.42</v>
      </c>
      <c r="F101">
        <v>3.44</v>
      </c>
      <c r="G101">
        <v>57359468</v>
      </c>
      <c r="H101">
        <v>196997712</v>
      </c>
      <c r="I101" s="13">
        <f t="shared" si="8"/>
        <v>3.5080000000000005</v>
      </c>
      <c r="J101" s="13">
        <f t="shared" si="9"/>
        <v>3.5329999999999999</v>
      </c>
      <c r="K101" s="13">
        <f t="shared" si="10"/>
        <v>3.4850000000000003</v>
      </c>
      <c r="L101" s="13">
        <f t="shared" si="11"/>
        <v>3.512166666666666</v>
      </c>
    </row>
    <row r="102" spans="1:13" x14ac:dyDescent="0.2">
      <c r="A102" s="10">
        <v>42849</v>
      </c>
      <c r="C102">
        <v>3.42</v>
      </c>
      <c r="D102">
        <v>3.43</v>
      </c>
      <c r="E102">
        <v>3.36</v>
      </c>
      <c r="F102">
        <v>3.36</v>
      </c>
      <c r="G102">
        <v>97540764</v>
      </c>
      <c r="H102">
        <v>329993088</v>
      </c>
      <c r="I102" s="13">
        <f t="shared" si="8"/>
        <v>3.472</v>
      </c>
      <c r="J102" s="13">
        <f t="shared" si="9"/>
        <v>3.5209999999999999</v>
      </c>
      <c r="K102" s="13">
        <f t="shared" si="10"/>
        <v>3.4839999999999995</v>
      </c>
      <c r="L102" s="13">
        <f t="shared" si="11"/>
        <v>3.5113333333333325</v>
      </c>
    </row>
    <row r="103" spans="1:13" x14ac:dyDescent="0.2">
      <c r="A103" s="10">
        <v>42850</v>
      </c>
      <c r="C103">
        <v>3.37</v>
      </c>
      <c r="D103">
        <v>3.38</v>
      </c>
      <c r="E103">
        <v>3.33</v>
      </c>
      <c r="F103">
        <v>3.36</v>
      </c>
      <c r="G103">
        <v>87296703</v>
      </c>
      <c r="H103">
        <v>293040800</v>
      </c>
      <c r="I103" s="13">
        <f t="shared" si="8"/>
        <v>3.4380000000000002</v>
      </c>
      <c r="J103" s="13">
        <f t="shared" si="9"/>
        <v>3.5060000000000002</v>
      </c>
      <c r="K103" s="13">
        <f t="shared" si="10"/>
        <v>3.4790000000000001</v>
      </c>
      <c r="L103" s="13">
        <f t="shared" si="11"/>
        <v>3.5103333333333335</v>
      </c>
    </row>
    <row r="104" spans="1:13" x14ac:dyDescent="0.2">
      <c r="A104" s="10">
        <v>42851</v>
      </c>
      <c r="C104">
        <v>3.35</v>
      </c>
      <c r="D104">
        <v>3.36</v>
      </c>
      <c r="E104">
        <v>3.34</v>
      </c>
      <c r="F104">
        <v>3.35</v>
      </c>
      <c r="G104">
        <v>63032035</v>
      </c>
      <c r="H104">
        <v>211106736</v>
      </c>
      <c r="I104" s="13">
        <f t="shared" si="8"/>
        <v>3.4159999999999995</v>
      </c>
      <c r="J104" s="13">
        <f t="shared" si="9"/>
        <v>3.4850000000000003</v>
      </c>
      <c r="K104" s="13">
        <f t="shared" si="10"/>
        <v>3.476</v>
      </c>
      <c r="L104" s="13">
        <f t="shared" si="11"/>
        <v>3.5090000000000003</v>
      </c>
    </row>
    <row r="105" spans="1:13" x14ac:dyDescent="0.2">
      <c r="A105" s="10">
        <v>42852</v>
      </c>
      <c r="C105">
        <v>3.35</v>
      </c>
      <c r="D105">
        <v>3.36</v>
      </c>
      <c r="E105">
        <v>3.28</v>
      </c>
      <c r="F105">
        <v>3.35</v>
      </c>
      <c r="G105">
        <v>84042353</v>
      </c>
      <c r="H105">
        <v>279363392</v>
      </c>
      <c r="I105" s="13">
        <f t="shared" si="8"/>
        <v>3.3880000000000003</v>
      </c>
      <c r="J105" s="13">
        <f t="shared" si="9"/>
        <v>3.4630000000000001</v>
      </c>
      <c r="K105" s="13">
        <f t="shared" si="10"/>
        <v>3.4699999999999998</v>
      </c>
      <c r="L105" s="13">
        <f t="shared" si="11"/>
        <v>3.5063333333333331</v>
      </c>
    </row>
    <row r="106" spans="1:13" x14ac:dyDescent="0.2">
      <c r="A106" s="10">
        <v>42853</v>
      </c>
      <c r="C106">
        <v>3.34</v>
      </c>
      <c r="D106">
        <v>3.39</v>
      </c>
      <c r="E106">
        <v>3.33</v>
      </c>
      <c r="F106">
        <v>3.38</v>
      </c>
      <c r="G106">
        <v>61427904</v>
      </c>
      <c r="H106">
        <v>206687024</v>
      </c>
      <c r="I106" s="13">
        <f t="shared" si="8"/>
        <v>3.3719999999999999</v>
      </c>
      <c r="J106" s="13">
        <f t="shared" si="9"/>
        <v>3.4400000000000004</v>
      </c>
      <c r="K106" s="13">
        <f t="shared" si="10"/>
        <v>3.4654999999999996</v>
      </c>
      <c r="L106" s="13">
        <f t="shared" si="11"/>
        <v>3.5039999999999996</v>
      </c>
      <c r="M106" t="s">
        <v>64</v>
      </c>
    </row>
    <row r="107" spans="1:13" x14ac:dyDescent="0.2">
      <c r="A107" s="10">
        <v>42857</v>
      </c>
      <c r="C107">
        <v>3.36</v>
      </c>
      <c r="D107">
        <v>3.38</v>
      </c>
      <c r="E107">
        <v>3.33</v>
      </c>
      <c r="F107">
        <v>3.37</v>
      </c>
      <c r="G107">
        <v>74337638</v>
      </c>
      <c r="H107">
        <v>248917568</v>
      </c>
      <c r="I107" s="13">
        <f t="shared" ref="I107:I170" si="12">SUM(F102:F106)/5</f>
        <v>3.3600000000000003</v>
      </c>
      <c r="J107" s="13">
        <f t="shared" ref="J107:J170" si="13">SUM(F97:F106)/10</f>
        <v>3.4160000000000004</v>
      </c>
      <c r="K107" s="13">
        <f t="shared" ref="K107:K170" si="14">SUM(F87:F106)/20</f>
        <v>3.4614999999999996</v>
      </c>
      <c r="L107" s="13">
        <f t="shared" ref="L107:L170" si="15">SUM(F47:F106)/60</f>
        <v>3.5018333333333329</v>
      </c>
      <c r="M107" t="s">
        <v>84</v>
      </c>
    </row>
    <row r="108" spans="1:13" x14ac:dyDescent="0.2">
      <c r="A108" s="10">
        <v>42858</v>
      </c>
      <c r="C108">
        <v>3.35</v>
      </c>
      <c r="D108">
        <v>3.37</v>
      </c>
      <c r="E108">
        <v>3.33</v>
      </c>
      <c r="F108">
        <v>3.36</v>
      </c>
      <c r="G108">
        <v>55269404</v>
      </c>
      <c r="H108">
        <v>185119920</v>
      </c>
      <c r="I108" s="13">
        <f t="shared" si="12"/>
        <v>3.3620000000000005</v>
      </c>
      <c r="J108" s="13">
        <f t="shared" si="13"/>
        <v>3.4</v>
      </c>
      <c r="K108" s="13">
        <f t="shared" si="14"/>
        <v>3.46</v>
      </c>
      <c r="L108" s="13">
        <f t="shared" si="15"/>
        <v>3.4983333333333335</v>
      </c>
    </row>
    <row r="109" spans="1:13" x14ac:dyDescent="0.2">
      <c r="A109" s="10">
        <v>42859</v>
      </c>
      <c r="C109">
        <v>3.33</v>
      </c>
      <c r="D109">
        <v>3.35</v>
      </c>
      <c r="E109">
        <v>3.31</v>
      </c>
      <c r="F109">
        <v>3.33</v>
      </c>
      <c r="G109">
        <v>61721550</v>
      </c>
      <c r="H109">
        <v>205285392</v>
      </c>
      <c r="I109" s="13">
        <f t="shared" si="12"/>
        <v>3.3619999999999997</v>
      </c>
      <c r="J109" s="13">
        <f t="shared" si="13"/>
        <v>3.3890000000000002</v>
      </c>
      <c r="K109" s="13">
        <f t="shared" si="14"/>
        <v>3.4590000000000005</v>
      </c>
      <c r="L109" s="13">
        <f t="shared" si="15"/>
        <v>3.4948333333333337</v>
      </c>
    </row>
    <row r="110" spans="1:13" x14ac:dyDescent="0.2">
      <c r="A110" s="10">
        <v>42860</v>
      </c>
      <c r="C110">
        <v>3.3</v>
      </c>
      <c r="D110">
        <v>3.32</v>
      </c>
      <c r="E110">
        <v>3.25</v>
      </c>
      <c r="F110">
        <v>3.3</v>
      </c>
      <c r="G110">
        <v>115237000</v>
      </c>
      <c r="H110">
        <v>377589440</v>
      </c>
      <c r="I110" s="13">
        <f t="shared" si="12"/>
        <v>3.3579999999999997</v>
      </c>
      <c r="J110" s="13">
        <f t="shared" si="13"/>
        <v>3.3730000000000002</v>
      </c>
      <c r="K110" s="13">
        <f t="shared" si="14"/>
        <v>3.4545000000000003</v>
      </c>
      <c r="L110" s="13">
        <f t="shared" si="15"/>
        <v>3.4913333333333338</v>
      </c>
    </row>
    <row r="111" spans="1:13" x14ac:dyDescent="0.2">
      <c r="A111" s="10">
        <v>42863</v>
      </c>
      <c r="C111">
        <v>3.28</v>
      </c>
      <c r="D111">
        <v>3.3</v>
      </c>
      <c r="E111">
        <v>3.25</v>
      </c>
      <c r="F111">
        <v>3.29</v>
      </c>
      <c r="G111">
        <v>72756470</v>
      </c>
      <c r="H111">
        <v>237585696</v>
      </c>
      <c r="I111" s="13">
        <f t="shared" si="12"/>
        <v>3.3479999999999999</v>
      </c>
      <c r="J111" s="13">
        <f t="shared" si="13"/>
        <v>3.3599999999999994</v>
      </c>
      <c r="K111" s="13">
        <f t="shared" si="14"/>
        <v>3.4464999999999995</v>
      </c>
      <c r="L111" s="13">
        <f t="shared" si="15"/>
        <v>3.4866666666666668</v>
      </c>
    </row>
    <row r="112" spans="1:13" x14ac:dyDescent="0.2">
      <c r="A112" s="10">
        <v>42864</v>
      </c>
      <c r="C112">
        <v>3.27</v>
      </c>
      <c r="D112">
        <v>3.28</v>
      </c>
      <c r="E112">
        <v>3.24</v>
      </c>
      <c r="F112">
        <v>3.27</v>
      </c>
      <c r="G112">
        <v>52688495</v>
      </c>
      <c r="H112">
        <v>171691872</v>
      </c>
      <c r="I112" s="13">
        <f t="shared" si="12"/>
        <v>3.3299999999999996</v>
      </c>
      <c r="J112" s="13">
        <f t="shared" si="13"/>
        <v>3.3450000000000002</v>
      </c>
      <c r="K112" s="13">
        <f t="shared" si="14"/>
        <v>3.4330000000000007</v>
      </c>
      <c r="L112" s="13">
        <f t="shared" si="15"/>
        <v>3.4823333333333339</v>
      </c>
      <c r="M112" t="s">
        <v>65</v>
      </c>
    </row>
    <row r="113" spans="1:13" x14ac:dyDescent="0.2">
      <c r="A113" s="10">
        <v>42865</v>
      </c>
      <c r="C113">
        <v>3.26</v>
      </c>
      <c r="D113">
        <v>3.28</v>
      </c>
      <c r="E113">
        <v>3.22</v>
      </c>
      <c r="F113">
        <v>3.23</v>
      </c>
      <c r="G113">
        <v>57427780</v>
      </c>
      <c r="H113">
        <v>187205312</v>
      </c>
      <c r="I113" s="13">
        <f t="shared" si="12"/>
        <v>3.3099999999999996</v>
      </c>
      <c r="J113" s="13">
        <f t="shared" si="13"/>
        <v>3.3359999999999999</v>
      </c>
      <c r="K113" s="13">
        <f t="shared" si="14"/>
        <v>3.4210000000000003</v>
      </c>
      <c r="L113" s="13">
        <f t="shared" si="15"/>
        <v>3.4771666666666676</v>
      </c>
      <c r="M113" t="s">
        <v>76</v>
      </c>
    </row>
    <row r="114" spans="1:13" x14ac:dyDescent="0.2">
      <c r="A114" s="10">
        <v>42866</v>
      </c>
      <c r="C114">
        <v>3.22</v>
      </c>
      <c r="D114">
        <v>3.22</v>
      </c>
      <c r="E114">
        <v>3.14</v>
      </c>
      <c r="F114">
        <v>3.2</v>
      </c>
      <c r="G114">
        <v>83853376</v>
      </c>
      <c r="H114">
        <v>266730912</v>
      </c>
      <c r="I114" s="13">
        <f t="shared" si="12"/>
        <v>3.2839999999999998</v>
      </c>
      <c r="J114" s="13">
        <f t="shared" si="13"/>
        <v>3.3229999999999995</v>
      </c>
      <c r="K114" s="13">
        <f t="shared" si="14"/>
        <v>3.4039999999999999</v>
      </c>
      <c r="L114" s="13">
        <f t="shared" si="15"/>
        <v>3.471833333333334</v>
      </c>
    </row>
    <row r="115" spans="1:13" x14ac:dyDescent="0.2">
      <c r="A115" s="10">
        <v>42867</v>
      </c>
      <c r="C115">
        <v>3.19</v>
      </c>
      <c r="D115">
        <v>3.21</v>
      </c>
      <c r="E115">
        <v>3.17</v>
      </c>
      <c r="F115">
        <v>3.2</v>
      </c>
      <c r="G115">
        <v>58277711</v>
      </c>
      <c r="H115">
        <v>186061280</v>
      </c>
      <c r="I115" s="13">
        <f t="shared" si="12"/>
        <v>3.258</v>
      </c>
      <c r="J115" s="13">
        <f t="shared" si="13"/>
        <v>3.3079999999999998</v>
      </c>
      <c r="K115" s="13">
        <f t="shared" si="14"/>
        <v>3.3855000000000004</v>
      </c>
      <c r="L115" s="13">
        <f t="shared" si="15"/>
        <v>3.4651666666666672</v>
      </c>
    </row>
    <row r="116" spans="1:13" x14ac:dyDescent="0.2">
      <c r="A116" s="10">
        <v>42870</v>
      </c>
      <c r="C116">
        <v>3.19</v>
      </c>
      <c r="D116">
        <v>3.24</v>
      </c>
      <c r="E116">
        <v>3.18</v>
      </c>
      <c r="F116">
        <v>3.21</v>
      </c>
      <c r="G116">
        <v>52100420</v>
      </c>
      <c r="H116">
        <v>166998032</v>
      </c>
      <c r="I116" s="13">
        <f t="shared" si="12"/>
        <v>3.2380000000000004</v>
      </c>
      <c r="J116" s="13">
        <f t="shared" si="13"/>
        <v>3.2930000000000001</v>
      </c>
      <c r="K116" s="13">
        <f t="shared" si="14"/>
        <v>3.3664999999999998</v>
      </c>
      <c r="L116" s="13">
        <f t="shared" si="15"/>
        <v>3.4580000000000002</v>
      </c>
    </row>
    <row r="117" spans="1:13" x14ac:dyDescent="0.2">
      <c r="A117" s="10">
        <v>42871</v>
      </c>
      <c r="C117">
        <v>3.21</v>
      </c>
      <c r="D117">
        <v>3.25</v>
      </c>
      <c r="E117">
        <v>3.18</v>
      </c>
      <c r="F117">
        <v>3.25</v>
      </c>
      <c r="G117">
        <v>58007906</v>
      </c>
      <c r="H117">
        <v>186645616</v>
      </c>
      <c r="I117" s="13">
        <f t="shared" si="12"/>
        <v>3.222</v>
      </c>
      <c r="J117" s="13">
        <f t="shared" si="13"/>
        <v>3.2759999999999998</v>
      </c>
      <c r="K117" s="13">
        <f t="shared" si="14"/>
        <v>3.3460000000000001</v>
      </c>
      <c r="L117" s="13">
        <f t="shared" si="15"/>
        <v>3.4523333333333341</v>
      </c>
    </row>
    <row r="118" spans="1:13" x14ac:dyDescent="0.2">
      <c r="A118" s="10">
        <v>42872</v>
      </c>
      <c r="C118">
        <v>3.25</v>
      </c>
      <c r="D118">
        <v>3.27</v>
      </c>
      <c r="E118">
        <v>3.24</v>
      </c>
      <c r="F118">
        <v>3.24</v>
      </c>
      <c r="G118">
        <v>52994998</v>
      </c>
      <c r="H118">
        <v>172375536</v>
      </c>
      <c r="I118" s="13">
        <f t="shared" si="12"/>
        <v>3.218</v>
      </c>
      <c r="J118" s="13">
        <f t="shared" si="13"/>
        <v>3.2640000000000002</v>
      </c>
      <c r="K118" s="13">
        <f t="shared" si="14"/>
        <v>3.3319999999999999</v>
      </c>
      <c r="L118" s="13">
        <f t="shared" si="15"/>
        <v>3.4461666666666675</v>
      </c>
    </row>
    <row r="119" spans="1:13" x14ac:dyDescent="0.2">
      <c r="A119" s="10">
        <v>42873</v>
      </c>
      <c r="C119">
        <v>3.29</v>
      </c>
      <c r="D119">
        <v>3.32</v>
      </c>
      <c r="E119">
        <v>3.26</v>
      </c>
      <c r="F119">
        <v>3.27</v>
      </c>
      <c r="G119">
        <v>83288592</v>
      </c>
      <c r="H119">
        <v>274179648</v>
      </c>
      <c r="I119" s="13">
        <f t="shared" si="12"/>
        <v>3.22</v>
      </c>
      <c r="J119" s="13">
        <f t="shared" si="13"/>
        <v>3.2519999999999998</v>
      </c>
      <c r="K119" s="13">
        <f t="shared" si="14"/>
        <v>3.3205</v>
      </c>
      <c r="L119" s="13">
        <f t="shared" si="15"/>
        <v>3.440666666666667</v>
      </c>
    </row>
    <row r="120" spans="1:13" x14ac:dyDescent="0.2">
      <c r="A120" s="10">
        <v>42874</v>
      </c>
      <c r="C120">
        <v>3.23</v>
      </c>
      <c r="D120">
        <v>3.25</v>
      </c>
      <c r="E120">
        <v>3.22</v>
      </c>
      <c r="F120">
        <v>3.24</v>
      </c>
      <c r="G120">
        <v>48323582</v>
      </c>
      <c r="H120">
        <v>156382320</v>
      </c>
      <c r="I120" s="13">
        <f t="shared" si="12"/>
        <v>3.2340000000000004</v>
      </c>
      <c r="J120" s="13">
        <f t="shared" si="13"/>
        <v>3.246</v>
      </c>
      <c r="K120" s="13">
        <f t="shared" si="14"/>
        <v>3.3095000000000008</v>
      </c>
      <c r="L120" s="13">
        <f t="shared" si="15"/>
        <v>3.4348333333333341</v>
      </c>
    </row>
    <row r="121" spans="1:13" x14ac:dyDescent="0.2">
      <c r="A121" s="10">
        <v>42877</v>
      </c>
      <c r="C121">
        <v>3.25</v>
      </c>
      <c r="D121">
        <v>3.26</v>
      </c>
      <c r="E121">
        <v>3.2</v>
      </c>
      <c r="F121">
        <v>3.23</v>
      </c>
      <c r="G121">
        <v>38530197</v>
      </c>
      <c r="H121">
        <v>124469136</v>
      </c>
      <c r="I121" s="13">
        <f t="shared" si="12"/>
        <v>3.242</v>
      </c>
      <c r="J121" s="13">
        <f t="shared" si="13"/>
        <v>3.2399999999999998</v>
      </c>
      <c r="K121" s="13">
        <f t="shared" si="14"/>
        <v>3.3</v>
      </c>
      <c r="L121" s="13">
        <f t="shared" si="15"/>
        <v>3.4281666666666673</v>
      </c>
    </row>
    <row r="122" spans="1:13" x14ac:dyDescent="0.2">
      <c r="A122" s="10">
        <v>42878</v>
      </c>
      <c r="C122">
        <v>3.23</v>
      </c>
      <c r="D122">
        <v>3.27</v>
      </c>
      <c r="E122">
        <v>3.16</v>
      </c>
      <c r="F122">
        <v>3.27</v>
      </c>
      <c r="G122">
        <v>76899850</v>
      </c>
      <c r="H122">
        <v>247403824</v>
      </c>
      <c r="I122" s="13">
        <f t="shared" si="12"/>
        <v>3.246</v>
      </c>
      <c r="J122" s="13">
        <f t="shared" si="13"/>
        <v>3.2339999999999995</v>
      </c>
      <c r="K122" s="13">
        <f t="shared" si="14"/>
        <v>3.2895000000000012</v>
      </c>
      <c r="L122" s="13">
        <f t="shared" si="15"/>
        <v>3.4215000000000009</v>
      </c>
    </row>
    <row r="123" spans="1:13" x14ac:dyDescent="0.2">
      <c r="A123" s="10">
        <v>42879</v>
      </c>
      <c r="C123">
        <v>3.23</v>
      </c>
      <c r="D123">
        <v>3.26</v>
      </c>
      <c r="E123">
        <v>3.19</v>
      </c>
      <c r="F123">
        <v>3.25</v>
      </c>
      <c r="G123">
        <v>40707022</v>
      </c>
      <c r="H123">
        <v>131332808</v>
      </c>
      <c r="I123" s="13">
        <f t="shared" si="12"/>
        <v>3.25</v>
      </c>
      <c r="J123" s="13">
        <f t="shared" si="13"/>
        <v>3.2339999999999995</v>
      </c>
      <c r="K123" s="13">
        <f t="shared" si="14"/>
        <v>3.2850000000000001</v>
      </c>
      <c r="L123" s="13">
        <f t="shared" si="15"/>
        <v>3.4153333333333342</v>
      </c>
    </row>
    <row r="124" spans="1:13" x14ac:dyDescent="0.2">
      <c r="A124" s="10">
        <v>42880</v>
      </c>
      <c r="C124">
        <v>3.25</v>
      </c>
      <c r="D124">
        <v>3.29</v>
      </c>
      <c r="E124">
        <v>3.23</v>
      </c>
      <c r="F124">
        <v>3.27</v>
      </c>
      <c r="G124">
        <v>55886547</v>
      </c>
      <c r="H124">
        <v>182298016</v>
      </c>
      <c r="I124" s="13">
        <f t="shared" si="12"/>
        <v>3.2519999999999998</v>
      </c>
      <c r="J124" s="13">
        <f t="shared" si="13"/>
        <v>3.2359999999999998</v>
      </c>
      <c r="K124" s="13">
        <f t="shared" si="14"/>
        <v>3.2795000000000001</v>
      </c>
      <c r="L124" s="13">
        <f t="shared" si="15"/>
        <v>3.409333333333334</v>
      </c>
    </row>
    <row r="125" spans="1:13" x14ac:dyDescent="0.2">
      <c r="A125" s="10">
        <v>42881</v>
      </c>
      <c r="C125">
        <v>3.27</v>
      </c>
      <c r="D125">
        <v>3.29</v>
      </c>
      <c r="E125">
        <v>3.25</v>
      </c>
      <c r="F125">
        <v>3.28</v>
      </c>
      <c r="G125">
        <v>41373596</v>
      </c>
      <c r="H125">
        <v>135230208</v>
      </c>
      <c r="I125" s="13">
        <f t="shared" si="12"/>
        <v>3.2520000000000002</v>
      </c>
      <c r="J125" s="13">
        <f t="shared" si="13"/>
        <v>3.2430000000000008</v>
      </c>
      <c r="K125" s="13">
        <f t="shared" si="14"/>
        <v>3.2755000000000001</v>
      </c>
      <c r="L125" s="13">
        <f t="shared" si="15"/>
        <v>3.4043333333333341</v>
      </c>
    </row>
    <row r="126" spans="1:13" x14ac:dyDescent="0.2">
      <c r="A126" s="10">
        <v>42886</v>
      </c>
      <c r="C126">
        <v>3.28</v>
      </c>
      <c r="D126">
        <v>3.3</v>
      </c>
      <c r="E126">
        <v>3.27</v>
      </c>
      <c r="F126">
        <v>3.28</v>
      </c>
      <c r="G126">
        <v>47092484</v>
      </c>
      <c r="H126">
        <v>154486736</v>
      </c>
      <c r="I126" s="13">
        <f t="shared" si="12"/>
        <v>3.2600000000000002</v>
      </c>
      <c r="J126" s="13">
        <f t="shared" si="13"/>
        <v>3.2509999999999999</v>
      </c>
      <c r="K126" s="13">
        <f t="shared" si="14"/>
        <v>3.2720000000000007</v>
      </c>
      <c r="L126" s="13">
        <f t="shared" si="15"/>
        <v>3.3995000000000011</v>
      </c>
    </row>
    <row r="127" spans="1:13" x14ac:dyDescent="0.2">
      <c r="A127" s="10">
        <v>42887</v>
      </c>
      <c r="C127">
        <v>3.27</v>
      </c>
      <c r="D127">
        <v>3.28</v>
      </c>
      <c r="E127">
        <v>3.22</v>
      </c>
      <c r="F127">
        <v>3.27</v>
      </c>
      <c r="G127">
        <v>68817023</v>
      </c>
      <c r="H127">
        <v>223891216</v>
      </c>
      <c r="I127" s="13">
        <f t="shared" si="12"/>
        <v>3.2699999999999996</v>
      </c>
      <c r="J127" s="13">
        <f t="shared" si="13"/>
        <v>3.258</v>
      </c>
      <c r="K127" s="13">
        <f t="shared" si="14"/>
        <v>3.2670000000000003</v>
      </c>
      <c r="L127" s="13">
        <f t="shared" si="15"/>
        <v>3.3946666666666672</v>
      </c>
      <c r="M127" t="s">
        <v>83</v>
      </c>
    </row>
    <row r="128" spans="1:13" x14ac:dyDescent="0.2">
      <c r="A128" s="10">
        <v>42888</v>
      </c>
      <c r="C128">
        <v>3.25</v>
      </c>
      <c r="D128">
        <v>3.26</v>
      </c>
      <c r="E128">
        <v>3.23</v>
      </c>
      <c r="F128">
        <v>3.26</v>
      </c>
      <c r="G128">
        <v>37102332</v>
      </c>
      <c r="H128">
        <v>120323360</v>
      </c>
      <c r="I128" s="13">
        <f t="shared" si="12"/>
        <v>3.2699999999999996</v>
      </c>
      <c r="J128" s="13">
        <f t="shared" si="13"/>
        <v>3.2600000000000002</v>
      </c>
      <c r="K128" s="13">
        <f t="shared" si="14"/>
        <v>3.2620000000000005</v>
      </c>
      <c r="L128" s="13">
        <f t="shared" si="15"/>
        <v>3.3903333333333339</v>
      </c>
    </row>
    <row r="129" spans="1:13" x14ac:dyDescent="0.2">
      <c r="A129" s="10">
        <v>42891</v>
      </c>
      <c r="C129">
        <v>3.28</v>
      </c>
      <c r="D129">
        <v>3.3</v>
      </c>
      <c r="E129">
        <v>3.27</v>
      </c>
      <c r="F129">
        <v>3.28</v>
      </c>
      <c r="G129">
        <v>68072332</v>
      </c>
      <c r="H129">
        <v>223605776</v>
      </c>
      <c r="I129" s="13">
        <f t="shared" si="12"/>
        <v>3.2719999999999998</v>
      </c>
      <c r="J129" s="13">
        <f t="shared" si="13"/>
        <v>3.2619999999999996</v>
      </c>
      <c r="K129" s="13">
        <f t="shared" si="14"/>
        <v>3.2570000000000006</v>
      </c>
      <c r="L129" s="13">
        <f t="shared" si="15"/>
        <v>3.3871666666666673</v>
      </c>
    </row>
    <row r="130" spans="1:13" x14ac:dyDescent="0.2">
      <c r="A130" s="10">
        <v>42892</v>
      </c>
      <c r="C130">
        <v>3.27</v>
      </c>
      <c r="D130">
        <v>3.31</v>
      </c>
      <c r="E130">
        <v>3.26</v>
      </c>
      <c r="F130">
        <v>3.3</v>
      </c>
      <c r="G130">
        <v>62333828</v>
      </c>
      <c r="H130">
        <v>205197872</v>
      </c>
      <c r="I130" s="13">
        <f t="shared" si="12"/>
        <v>3.274</v>
      </c>
      <c r="J130" s="13">
        <f t="shared" si="13"/>
        <v>3.2630000000000003</v>
      </c>
      <c r="K130" s="13">
        <f t="shared" si="14"/>
        <v>3.2545000000000002</v>
      </c>
      <c r="L130" s="13">
        <f t="shared" si="15"/>
        <v>3.3840000000000003</v>
      </c>
    </row>
    <row r="131" spans="1:13" x14ac:dyDescent="0.2">
      <c r="A131" s="10">
        <v>42893</v>
      </c>
      <c r="C131">
        <v>3.3</v>
      </c>
      <c r="D131">
        <v>3.33</v>
      </c>
      <c r="E131">
        <v>3.3</v>
      </c>
      <c r="F131">
        <v>3.32</v>
      </c>
      <c r="G131">
        <v>62959715</v>
      </c>
      <c r="H131">
        <v>208692816</v>
      </c>
      <c r="I131" s="13">
        <f t="shared" si="12"/>
        <v>3.2779999999999996</v>
      </c>
      <c r="J131" s="13">
        <f t="shared" si="13"/>
        <v>3.2689999999999997</v>
      </c>
      <c r="K131" s="13">
        <f t="shared" si="14"/>
        <v>3.2545000000000002</v>
      </c>
      <c r="L131" s="13">
        <f t="shared" si="15"/>
        <v>3.3813333333333344</v>
      </c>
      <c r="M131" t="s">
        <v>66</v>
      </c>
    </row>
    <row r="132" spans="1:13" x14ac:dyDescent="0.2">
      <c r="A132" s="10">
        <v>42894</v>
      </c>
      <c r="C132">
        <v>3.31</v>
      </c>
      <c r="D132">
        <v>3.32</v>
      </c>
      <c r="E132">
        <v>3.28</v>
      </c>
      <c r="F132">
        <v>3.29</v>
      </c>
      <c r="G132">
        <v>42844816</v>
      </c>
      <c r="H132">
        <v>141130112</v>
      </c>
      <c r="I132" s="13">
        <f t="shared" si="12"/>
        <v>3.286</v>
      </c>
      <c r="J132" s="13">
        <f t="shared" si="13"/>
        <v>3.2779999999999996</v>
      </c>
      <c r="K132" s="13">
        <f t="shared" si="14"/>
        <v>3.2560000000000002</v>
      </c>
      <c r="L132" s="13">
        <f t="shared" si="15"/>
        <v>3.3793333333333337</v>
      </c>
      <c r="M132" t="s">
        <v>67</v>
      </c>
    </row>
    <row r="133" spans="1:13" x14ac:dyDescent="0.2">
      <c r="A133" s="10">
        <v>42895</v>
      </c>
      <c r="C133">
        <v>3.28</v>
      </c>
      <c r="D133">
        <v>3.31</v>
      </c>
      <c r="E133">
        <v>3.27</v>
      </c>
      <c r="F133">
        <v>3.3</v>
      </c>
      <c r="G133">
        <v>48223517</v>
      </c>
      <c r="H133">
        <v>158350560</v>
      </c>
      <c r="I133" s="13">
        <f t="shared" si="12"/>
        <v>3.29</v>
      </c>
      <c r="J133" s="13">
        <f t="shared" si="13"/>
        <v>3.2800000000000002</v>
      </c>
      <c r="K133" s="13">
        <f t="shared" si="14"/>
        <v>3.2570000000000001</v>
      </c>
      <c r="L133" s="13">
        <f t="shared" si="15"/>
        <v>3.3776666666666668</v>
      </c>
      <c r="M133" t="s">
        <v>77</v>
      </c>
    </row>
    <row r="134" spans="1:13" x14ac:dyDescent="0.2">
      <c r="A134" s="10">
        <v>42898</v>
      </c>
      <c r="C134">
        <v>3.28</v>
      </c>
      <c r="D134">
        <v>3.29</v>
      </c>
      <c r="E134">
        <v>3.24</v>
      </c>
      <c r="F134">
        <v>3.25</v>
      </c>
      <c r="G134">
        <v>71804062</v>
      </c>
      <c r="H134">
        <v>233959936</v>
      </c>
      <c r="I134" s="13">
        <f t="shared" si="12"/>
        <v>3.2980000000000005</v>
      </c>
      <c r="J134" s="13">
        <f t="shared" si="13"/>
        <v>3.2850000000000001</v>
      </c>
      <c r="K134" s="13">
        <f t="shared" si="14"/>
        <v>3.2605000000000004</v>
      </c>
      <c r="L134" s="13">
        <f t="shared" si="15"/>
        <v>3.3759999999999999</v>
      </c>
    </row>
    <row r="135" spans="1:13" x14ac:dyDescent="0.2">
      <c r="A135" s="10">
        <v>42899</v>
      </c>
      <c r="C135">
        <v>3.24</v>
      </c>
      <c r="D135">
        <v>3.33</v>
      </c>
      <c r="E135">
        <v>3.23</v>
      </c>
      <c r="F135">
        <v>3.31</v>
      </c>
      <c r="G135">
        <v>110969964</v>
      </c>
      <c r="H135">
        <v>365180448</v>
      </c>
      <c r="I135" s="13">
        <f t="shared" si="12"/>
        <v>3.2920000000000003</v>
      </c>
      <c r="J135" s="13">
        <f t="shared" si="13"/>
        <v>3.2829999999999999</v>
      </c>
      <c r="K135" s="13">
        <f t="shared" si="14"/>
        <v>3.2630000000000003</v>
      </c>
      <c r="L135" s="13">
        <f t="shared" si="15"/>
        <v>3.3725000000000005</v>
      </c>
      <c r="M135" t="s">
        <v>69</v>
      </c>
    </row>
    <row r="136" spans="1:13" x14ac:dyDescent="0.2">
      <c r="A136" s="10">
        <v>42900</v>
      </c>
      <c r="C136">
        <v>3.31</v>
      </c>
      <c r="D136">
        <v>3.33</v>
      </c>
      <c r="E136">
        <v>3.3</v>
      </c>
      <c r="F136">
        <v>3.31</v>
      </c>
      <c r="G136">
        <v>73225240</v>
      </c>
      <c r="H136">
        <v>243109920</v>
      </c>
      <c r="I136" s="13">
        <f t="shared" si="12"/>
        <v>3.2939999999999996</v>
      </c>
      <c r="J136" s="13">
        <f t="shared" si="13"/>
        <v>3.286</v>
      </c>
      <c r="K136" s="13">
        <f t="shared" si="14"/>
        <v>3.2684999999999995</v>
      </c>
      <c r="L136" s="13">
        <f t="shared" si="15"/>
        <v>3.3703333333333338</v>
      </c>
      <c r="M136" t="s">
        <v>68</v>
      </c>
    </row>
    <row r="137" spans="1:13" x14ac:dyDescent="0.2">
      <c r="A137" s="10">
        <v>42901</v>
      </c>
      <c r="C137">
        <v>3.31</v>
      </c>
      <c r="D137">
        <v>3.35</v>
      </c>
      <c r="E137">
        <v>3.3</v>
      </c>
      <c r="F137">
        <v>3.35</v>
      </c>
      <c r="G137">
        <v>82003807</v>
      </c>
      <c r="H137">
        <v>273561792</v>
      </c>
      <c r="I137" s="13">
        <f t="shared" si="12"/>
        <v>3.2920000000000003</v>
      </c>
      <c r="J137" s="13">
        <f t="shared" si="13"/>
        <v>3.2890000000000001</v>
      </c>
      <c r="K137" s="13">
        <f t="shared" si="14"/>
        <v>3.2734999999999999</v>
      </c>
      <c r="L137" s="13">
        <f t="shared" si="15"/>
        <v>3.3678333333333343</v>
      </c>
    </row>
    <row r="138" spans="1:13" x14ac:dyDescent="0.2">
      <c r="A138" s="10">
        <v>42902</v>
      </c>
      <c r="C138">
        <v>3.34</v>
      </c>
      <c r="D138">
        <v>3.36</v>
      </c>
      <c r="E138">
        <v>3.32</v>
      </c>
      <c r="F138">
        <v>3.35</v>
      </c>
      <c r="G138">
        <v>62151172</v>
      </c>
      <c r="H138">
        <v>207729536</v>
      </c>
      <c r="I138" s="13">
        <f t="shared" si="12"/>
        <v>3.3039999999999998</v>
      </c>
      <c r="J138" s="13">
        <f t="shared" si="13"/>
        <v>3.2969999999999997</v>
      </c>
      <c r="K138" s="13">
        <f t="shared" si="14"/>
        <v>3.2784999999999997</v>
      </c>
      <c r="L138" s="13">
        <f t="shared" si="15"/>
        <v>3.3656666666666677</v>
      </c>
    </row>
    <row r="139" spans="1:13" x14ac:dyDescent="0.2">
      <c r="A139" s="10">
        <v>42905</v>
      </c>
      <c r="C139">
        <v>3.34</v>
      </c>
      <c r="D139">
        <v>3.36</v>
      </c>
      <c r="E139">
        <v>3.33</v>
      </c>
      <c r="F139">
        <v>3.35</v>
      </c>
      <c r="G139">
        <v>48645772</v>
      </c>
      <c r="H139">
        <v>162465056</v>
      </c>
      <c r="I139" s="13">
        <f t="shared" si="12"/>
        <v>3.3140000000000001</v>
      </c>
      <c r="J139" s="13">
        <f t="shared" si="13"/>
        <v>3.306</v>
      </c>
      <c r="K139" s="13">
        <f t="shared" si="14"/>
        <v>3.2839999999999998</v>
      </c>
      <c r="L139" s="13">
        <f t="shared" si="15"/>
        <v>3.3640000000000003</v>
      </c>
    </row>
    <row r="140" spans="1:13" x14ac:dyDescent="0.2">
      <c r="A140" s="10">
        <v>42906</v>
      </c>
      <c r="C140">
        <v>3.34</v>
      </c>
      <c r="D140">
        <v>3.35</v>
      </c>
      <c r="E140">
        <v>3.31</v>
      </c>
      <c r="F140">
        <v>3.33</v>
      </c>
      <c r="G140">
        <v>49698158</v>
      </c>
      <c r="H140">
        <v>165225456</v>
      </c>
      <c r="I140" s="13">
        <f t="shared" si="12"/>
        <v>3.3340000000000005</v>
      </c>
      <c r="J140" s="13">
        <f t="shared" si="13"/>
        <v>3.3130000000000002</v>
      </c>
      <c r="K140" s="13">
        <f t="shared" si="14"/>
        <v>3.2880000000000003</v>
      </c>
      <c r="L140" s="13">
        <f t="shared" si="15"/>
        <v>3.3615000000000004</v>
      </c>
    </row>
    <row r="141" spans="1:13" x14ac:dyDescent="0.2">
      <c r="A141" s="10">
        <v>42907</v>
      </c>
      <c r="C141">
        <v>3.34</v>
      </c>
      <c r="D141">
        <v>3.34</v>
      </c>
      <c r="E141">
        <v>3.32</v>
      </c>
      <c r="F141">
        <v>3.34</v>
      </c>
      <c r="G141">
        <v>39578100</v>
      </c>
      <c r="H141">
        <v>131844416</v>
      </c>
      <c r="I141" s="13">
        <f t="shared" si="12"/>
        <v>3.3379999999999996</v>
      </c>
      <c r="J141" s="13">
        <f t="shared" si="13"/>
        <v>3.3160000000000003</v>
      </c>
      <c r="K141" s="13">
        <f t="shared" si="14"/>
        <v>3.2925000000000004</v>
      </c>
      <c r="L141" s="13">
        <f t="shared" si="15"/>
        <v>3.3591666666666673</v>
      </c>
    </row>
    <row r="142" spans="1:13" x14ac:dyDescent="0.2">
      <c r="A142" s="10">
        <v>42908</v>
      </c>
      <c r="C142">
        <v>3.34</v>
      </c>
      <c r="D142">
        <v>3.36</v>
      </c>
      <c r="E142">
        <v>3.33</v>
      </c>
      <c r="F142">
        <v>3.35</v>
      </c>
      <c r="G142">
        <v>71678807</v>
      </c>
      <c r="H142">
        <v>239830144</v>
      </c>
      <c r="I142" s="13">
        <f t="shared" si="12"/>
        <v>3.3439999999999999</v>
      </c>
      <c r="J142" s="13">
        <f t="shared" si="13"/>
        <v>3.3180000000000005</v>
      </c>
      <c r="K142" s="13">
        <f t="shared" si="14"/>
        <v>3.2979999999999996</v>
      </c>
      <c r="L142" s="13">
        <f t="shared" si="15"/>
        <v>3.3571666666666666</v>
      </c>
    </row>
    <row r="143" spans="1:13" x14ac:dyDescent="0.2">
      <c r="A143" s="10">
        <v>42909</v>
      </c>
      <c r="C143">
        <v>3.34</v>
      </c>
      <c r="D143">
        <v>3.36</v>
      </c>
      <c r="E143">
        <v>3.28</v>
      </c>
      <c r="F143">
        <v>3.36</v>
      </c>
      <c r="G143">
        <v>77749439</v>
      </c>
      <c r="H143">
        <v>258819552</v>
      </c>
      <c r="I143" s="13">
        <f t="shared" si="12"/>
        <v>3.3440000000000003</v>
      </c>
      <c r="J143" s="13">
        <f t="shared" si="13"/>
        <v>3.3240000000000003</v>
      </c>
      <c r="K143" s="13">
        <f t="shared" si="14"/>
        <v>3.3020000000000005</v>
      </c>
      <c r="L143" s="13">
        <f t="shared" si="15"/>
        <v>3.3553333333333333</v>
      </c>
    </row>
    <row r="144" spans="1:13" x14ac:dyDescent="0.2">
      <c r="A144" s="10">
        <v>42912</v>
      </c>
      <c r="C144">
        <v>3.35</v>
      </c>
      <c r="D144">
        <v>3.37</v>
      </c>
      <c r="E144">
        <v>3.34</v>
      </c>
      <c r="F144">
        <v>3.37</v>
      </c>
      <c r="G144">
        <v>44362351</v>
      </c>
      <c r="H144">
        <v>148976224</v>
      </c>
      <c r="I144" s="13">
        <f t="shared" si="12"/>
        <v>3.3460000000000001</v>
      </c>
      <c r="J144" s="13">
        <f t="shared" si="13"/>
        <v>3.3300000000000005</v>
      </c>
      <c r="K144" s="13">
        <f t="shared" si="14"/>
        <v>3.307500000000001</v>
      </c>
      <c r="L144" s="13">
        <f t="shared" si="15"/>
        <v>3.3543333333333338</v>
      </c>
    </row>
    <row r="145" spans="1:13" x14ac:dyDescent="0.2">
      <c r="A145" s="10">
        <v>42913</v>
      </c>
      <c r="C145">
        <v>3.35</v>
      </c>
      <c r="D145">
        <v>3.37</v>
      </c>
      <c r="E145">
        <v>3.32</v>
      </c>
      <c r="F145">
        <v>3.36</v>
      </c>
      <c r="G145">
        <v>53293381</v>
      </c>
      <c r="H145">
        <v>178347488</v>
      </c>
      <c r="I145" s="13">
        <f t="shared" si="12"/>
        <v>3.35</v>
      </c>
      <c r="J145" s="13">
        <f t="shared" si="13"/>
        <v>3.3420000000000001</v>
      </c>
      <c r="K145" s="13">
        <f t="shared" si="14"/>
        <v>3.3125</v>
      </c>
      <c r="L145" s="13">
        <f t="shared" si="15"/>
        <v>3.3526666666666669</v>
      </c>
    </row>
    <row r="146" spans="1:13" x14ac:dyDescent="0.2">
      <c r="A146" s="10">
        <v>42914</v>
      </c>
      <c r="C146">
        <v>3.35</v>
      </c>
      <c r="D146">
        <v>3.38</v>
      </c>
      <c r="E146">
        <v>3.34</v>
      </c>
      <c r="F146">
        <v>3.37</v>
      </c>
      <c r="G146">
        <v>53236135</v>
      </c>
      <c r="H146">
        <v>179133440</v>
      </c>
      <c r="I146" s="13">
        <f t="shared" si="12"/>
        <v>3.3559999999999994</v>
      </c>
      <c r="J146" s="13">
        <f t="shared" si="13"/>
        <v>3.347</v>
      </c>
      <c r="K146" s="13">
        <f t="shared" si="14"/>
        <v>3.3165</v>
      </c>
      <c r="L146" s="13">
        <f t="shared" si="15"/>
        <v>3.3513333333333342</v>
      </c>
    </row>
    <row r="147" spans="1:13" x14ac:dyDescent="0.2">
      <c r="A147" s="10">
        <v>42915</v>
      </c>
      <c r="C147">
        <v>3.37</v>
      </c>
      <c r="D147">
        <v>3.4</v>
      </c>
      <c r="E147">
        <v>3.36</v>
      </c>
      <c r="F147">
        <v>3.39</v>
      </c>
      <c r="G147">
        <v>67122050</v>
      </c>
      <c r="H147">
        <v>227320880</v>
      </c>
      <c r="I147" s="13">
        <f t="shared" si="12"/>
        <v>3.3619999999999997</v>
      </c>
      <c r="J147" s="13">
        <f t="shared" si="13"/>
        <v>3.3530000000000002</v>
      </c>
      <c r="K147" s="13">
        <f t="shared" si="14"/>
        <v>3.3210000000000002</v>
      </c>
      <c r="L147" s="13">
        <f t="shared" si="15"/>
        <v>3.3498333333333341</v>
      </c>
    </row>
    <row r="148" spans="1:13" x14ac:dyDescent="0.2">
      <c r="A148" s="10">
        <v>42916</v>
      </c>
      <c r="C148">
        <v>3.37</v>
      </c>
      <c r="D148">
        <v>3.44</v>
      </c>
      <c r="E148">
        <v>3.37</v>
      </c>
      <c r="F148">
        <v>3.43</v>
      </c>
      <c r="G148">
        <v>78596350</v>
      </c>
      <c r="H148">
        <v>267713792</v>
      </c>
      <c r="I148" s="13">
        <f t="shared" si="12"/>
        <v>3.37</v>
      </c>
      <c r="J148" s="13">
        <f t="shared" si="13"/>
        <v>3.3570000000000002</v>
      </c>
      <c r="K148" s="13">
        <f t="shared" si="14"/>
        <v>3.3269999999999995</v>
      </c>
      <c r="L148" s="13">
        <f t="shared" si="15"/>
        <v>3.3496666666666668</v>
      </c>
    </row>
    <row r="149" spans="1:13" x14ac:dyDescent="0.2">
      <c r="A149" s="10">
        <v>42919</v>
      </c>
      <c r="C149">
        <v>3.43</v>
      </c>
      <c r="D149">
        <v>3.45</v>
      </c>
      <c r="E149">
        <v>3.39</v>
      </c>
      <c r="F149">
        <v>3.44</v>
      </c>
      <c r="G149">
        <v>76418222</v>
      </c>
      <c r="H149">
        <v>261563136</v>
      </c>
      <c r="I149" s="13">
        <f t="shared" si="12"/>
        <v>3.3840000000000003</v>
      </c>
      <c r="J149" s="13">
        <f t="shared" si="13"/>
        <v>3.3650000000000007</v>
      </c>
      <c r="K149" s="13">
        <f t="shared" si="14"/>
        <v>3.3354999999999997</v>
      </c>
      <c r="L149" s="13">
        <f t="shared" si="15"/>
        <v>3.3505000000000007</v>
      </c>
      <c r="M149" t="s">
        <v>85</v>
      </c>
    </row>
    <row r="150" spans="1:13" x14ac:dyDescent="0.2">
      <c r="A150" s="10">
        <v>42920</v>
      </c>
      <c r="C150">
        <v>3.41</v>
      </c>
      <c r="D150">
        <v>3.46</v>
      </c>
      <c r="E150">
        <v>3.41</v>
      </c>
      <c r="F150">
        <v>3.45</v>
      </c>
      <c r="G150">
        <v>84382858</v>
      </c>
      <c r="H150">
        <v>290024800</v>
      </c>
      <c r="I150" s="13">
        <f t="shared" si="12"/>
        <v>3.3980000000000006</v>
      </c>
      <c r="J150" s="13">
        <f t="shared" si="13"/>
        <v>3.3740000000000001</v>
      </c>
      <c r="K150" s="13">
        <f t="shared" si="14"/>
        <v>3.3434999999999997</v>
      </c>
      <c r="L150" s="13">
        <f t="shared" si="15"/>
        <v>3.3508333333333336</v>
      </c>
    </row>
    <row r="151" spans="1:13" x14ac:dyDescent="0.2">
      <c r="A151" s="10">
        <v>42921</v>
      </c>
      <c r="C151">
        <v>3.44</v>
      </c>
      <c r="D151">
        <v>3.48</v>
      </c>
      <c r="E151">
        <v>3.43</v>
      </c>
      <c r="F151">
        <v>3.47</v>
      </c>
      <c r="G151">
        <v>64575573</v>
      </c>
      <c r="H151">
        <v>223474928</v>
      </c>
      <c r="I151" s="13">
        <f t="shared" si="12"/>
        <v>3.4159999999999995</v>
      </c>
      <c r="J151" s="13">
        <f t="shared" si="13"/>
        <v>3.3860000000000001</v>
      </c>
      <c r="K151" s="13">
        <f t="shared" si="14"/>
        <v>3.351</v>
      </c>
      <c r="L151" s="13">
        <f t="shared" si="15"/>
        <v>3.3506666666666667</v>
      </c>
    </row>
    <row r="152" spans="1:13" x14ac:dyDescent="0.2">
      <c r="A152" s="10">
        <v>42922</v>
      </c>
      <c r="C152">
        <v>3.47</v>
      </c>
      <c r="D152">
        <v>3.5</v>
      </c>
      <c r="E152">
        <v>3.45</v>
      </c>
      <c r="F152">
        <v>3.49</v>
      </c>
      <c r="G152">
        <v>80725767</v>
      </c>
      <c r="H152">
        <v>280315456</v>
      </c>
      <c r="I152" s="13">
        <f t="shared" si="12"/>
        <v>3.4359999999999999</v>
      </c>
      <c r="J152" s="13">
        <f t="shared" si="13"/>
        <v>3.399</v>
      </c>
      <c r="K152" s="13">
        <f t="shared" si="14"/>
        <v>3.3585000000000003</v>
      </c>
      <c r="L152" s="13">
        <f t="shared" si="15"/>
        <v>3.3491666666666671</v>
      </c>
    </row>
    <row r="153" spans="1:13" x14ac:dyDescent="0.2">
      <c r="A153" s="10">
        <v>42923</v>
      </c>
      <c r="C153">
        <v>3.48</v>
      </c>
      <c r="D153">
        <v>3.52</v>
      </c>
      <c r="E153">
        <v>3.45</v>
      </c>
      <c r="F153">
        <v>3.51</v>
      </c>
      <c r="G153">
        <v>120817513</v>
      </c>
      <c r="H153">
        <v>421282272</v>
      </c>
      <c r="I153" s="13">
        <f t="shared" si="12"/>
        <v>3.4560000000000004</v>
      </c>
      <c r="J153" s="13">
        <f t="shared" si="13"/>
        <v>3.4130000000000003</v>
      </c>
      <c r="K153" s="13">
        <f t="shared" si="14"/>
        <v>3.3684999999999996</v>
      </c>
      <c r="L153" s="13">
        <f t="shared" si="15"/>
        <v>3.3488333333333333</v>
      </c>
    </row>
    <row r="154" spans="1:13" x14ac:dyDescent="0.2">
      <c r="A154" s="10">
        <v>42926</v>
      </c>
      <c r="C154">
        <v>3.49</v>
      </c>
      <c r="D154">
        <v>3.55</v>
      </c>
      <c r="E154">
        <v>3.49</v>
      </c>
      <c r="F154">
        <v>3.54</v>
      </c>
      <c r="G154">
        <v>106350999</v>
      </c>
      <c r="H154">
        <v>374885024</v>
      </c>
      <c r="I154" s="13">
        <f t="shared" si="12"/>
        <v>3.472</v>
      </c>
      <c r="J154" s="13">
        <f t="shared" si="13"/>
        <v>3.4279999999999999</v>
      </c>
      <c r="K154" s="13">
        <f t="shared" si="14"/>
        <v>3.379</v>
      </c>
      <c r="L154" s="13">
        <f t="shared" si="15"/>
        <v>3.3478333333333334</v>
      </c>
      <c r="M154" t="s">
        <v>78</v>
      </c>
    </row>
    <row r="155" spans="1:13" x14ac:dyDescent="0.2">
      <c r="A155" s="10">
        <v>42927</v>
      </c>
      <c r="C155">
        <v>3.54</v>
      </c>
      <c r="D155">
        <v>3.54</v>
      </c>
      <c r="E155">
        <v>3.46</v>
      </c>
      <c r="F155">
        <v>3.47</v>
      </c>
      <c r="G155">
        <v>101452764</v>
      </c>
      <c r="H155">
        <v>355305888</v>
      </c>
      <c r="I155" s="13">
        <f t="shared" si="12"/>
        <v>3.492</v>
      </c>
      <c r="J155" s="13">
        <f t="shared" si="13"/>
        <v>3.4449999999999994</v>
      </c>
      <c r="K155" s="13">
        <f t="shared" si="14"/>
        <v>3.3935000000000004</v>
      </c>
      <c r="L155" s="13">
        <f t="shared" si="15"/>
        <v>3.3473333333333333</v>
      </c>
    </row>
    <row r="156" spans="1:13" x14ac:dyDescent="0.2">
      <c r="A156" s="10">
        <v>42928</v>
      </c>
      <c r="C156">
        <v>3.47</v>
      </c>
      <c r="D156">
        <v>3.5</v>
      </c>
      <c r="E156">
        <v>3.45</v>
      </c>
      <c r="F156">
        <v>3.47</v>
      </c>
      <c r="G156">
        <v>62290249</v>
      </c>
      <c r="H156">
        <v>216174544</v>
      </c>
      <c r="I156" s="13">
        <f t="shared" si="12"/>
        <v>3.496</v>
      </c>
      <c r="J156" s="13">
        <f t="shared" si="13"/>
        <v>3.4559999999999995</v>
      </c>
      <c r="K156" s="13">
        <f t="shared" si="14"/>
        <v>3.4015</v>
      </c>
      <c r="L156" s="13">
        <f t="shared" si="15"/>
        <v>3.3454999999999999</v>
      </c>
    </row>
    <row r="157" spans="1:13" x14ac:dyDescent="0.2">
      <c r="A157" s="10">
        <v>42929</v>
      </c>
      <c r="C157">
        <v>3.47</v>
      </c>
      <c r="D157">
        <v>3.64</v>
      </c>
      <c r="E157">
        <v>3.46</v>
      </c>
      <c r="F157">
        <v>3.55</v>
      </c>
      <c r="G157">
        <v>169804393</v>
      </c>
      <c r="H157">
        <v>605968192</v>
      </c>
      <c r="I157" s="13">
        <f t="shared" si="12"/>
        <v>3.496</v>
      </c>
      <c r="J157" s="13">
        <f t="shared" si="13"/>
        <v>3.4659999999999997</v>
      </c>
      <c r="K157" s="13">
        <f t="shared" si="14"/>
        <v>3.4095</v>
      </c>
      <c r="L157" s="13">
        <f t="shared" si="15"/>
        <v>3.3429999999999995</v>
      </c>
    </row>
    <row r="158" spans="1:13" x14ac:dyDescent="0.2">
      <c r="A158" s="10">
        <v>42930</v>
      </c>
      <c r="C158">
        <v>3.54</v>
      </c>
      <c r="D158">
        <v>3.57</v>
      </c>
      <c r="E158">
        <v>3.51</v>
      </c>
      <c r="F158">
        <v>3.55</v>
      </c>
      <c r="G158">
        <v>80888332</v>
      </c>
      <c r="H158">
        <v>286692704</v>
      </c>
      <c r="I158" s="13">
        <f t="shared" si="12"/>
        <v>3.508</v>
      </c>
      <c r="J158" s="13">
        <f t="shared" si="13"/>
        <v>3.4819999999999993</v>
      </c>
      <c r="K158" s="13">
        <f t="shared" si="14"/>
        <v>3.4195000000000002</v>
      </c>
      <c r="L158" s="13">
        <f t="shared" si="15"/>
        <v>3.3433333333333333</v>
      </c>
    </row>
    <row r="159" spans="1:13" x14ac:dyDescent="0.2">
      <c r="A159" s="10">
        <v>42933</v>
      </c>
      <c r="C159">
        <v>3.57</v>
      </c>
      <c r="D159">
        <v>3.61</v>
      </c>
      <c r="E159">
        <v>3.46</v>
      </c>
      <c r="F159">
        <v>3.58</v>
      </c>
      <c r="G159">
        <v>170097887</v>
      </c>
      <c r="H159">
        <v>604610752</v>
      </c>
      <c r="I159" s="13">
        <f t="shared" si="12"/>
        <v>3.5160000000000005</v>
      </c>
      <c r="J159" s="13">
        <f t="shared" si="13"/>
        <v>3.4939999999999998</v>
      </c>
      <c r="K159" s="13">
        <f t="shared" si="14"/>
        <v>3.4295</v>
      </c>
      <c r="L159" s="13">
        <f t="shared" si="15"/>
        <v>3.3446666666666669</v>
      </c>
      <c r="M159" t="s">
        <v>81</v>
      </c>
    </row>
    <row r="160" spans="1:13" x14ac:dyDescent="0.2">
      <c r="A160" s="10">
        <v>42934</v>
      </c>
      <c r="C160">
        <v>3.55</v>
      </c>
      <c r="D160">
        <v>3.61</v>
      </c>
      <c r="E160">
        <v>3.54</v>
      </c>
      <c r="F160">
        <v>3.6</v>
      </c>
      <c r="G160">
        <v>105948989</v>
      </c>
      <c r="H160">
        <v>379519680</v>
      </c>
      <c r="I160" s="13">
        <f t="shared" si="12"/>
        <v>3.5239999999999996</v>
      </c>
      <c r="J160" s="13">
        <f t="shared" si="13"/>
        <v>3.508</v>
      </c>
      <c r="K160" s="13">
        <f t="shared" si="14"/>
        <v>3.4409999999999998</v>
      </c>
      <c r="L160" s="13">
        <f t="shared" si="15"/>
        <v>3.3461666666666674</v>
      </c>
    </row>
    <row r="161" spans="1:13" x14ac:dyDescent="0.2">
      <c r="A161" s="10">
        <v>42935</v>
      </c>
      <c r="C161">
        <v>3.61</v>
      </c>
      <c r="D161">
        <v>3.7</v>
      </c>
      <c r="E161">
        <v>3.6</v>
      </c>
      <c r="F161">
        <v>3.64</v>
      </c>
      <c r="G161">
        <v>412481100</v>
      </c>
      <c r="H161">
        <v>1510586496</v>
      </c>
      <c r="I161" s="13">
        <f t="shared" si="12"/>
        <v>3.55</v>
      </c>
      <c r="J161" s="13">
        <f t="shared" si="13"/>
        <v>3.5230000000000006</v>
      </c>
      <c r="K161" s="13">
        <f t="shared" si="14"/>
        <v>3.4544999999999995</v>
      </c>
      <c r="L161" s="13">
        <f t="shared" si="15"/>
        <v>3.3490000000000006</v>
      </c>
      <c r="M161" t="s">
        <v>70</v>
      </c>
    </row>
    <row r="162" spans="1:13" x14ac:dyDescent="0.2">
      <c r="A162" s="10">
        <v>42936</v>
      </c>
      <c r="C162">
        <v>3.63</v>
      </c>
      <c r="D162">
        <v>3.65</v>
      </c>
      <c r="E162">
        <v>3.59</v>
      </c>
      <c r="F162">
        <v>3.59</v>
      </c>
      <c r="G162">
        <v>176336861</v>
      </c>
      <c r="H162">
        <v>637293184</v>
      </c>
      <c r="I162" s="13">
        <f t="shared" si="12"/>
        <v>3.5839999999999996</v>
      </c>
      <c r="J162" s="13">
        <f t="shared" si="13"/>
        <v>3.5400000000000005</v>
      </c>
      <c r="K162" s="13">
        <f t="shared" si="14"/>
        <v>3.4694999999999991</v>
      </c>
      <c r="L162" s="13">
        <f t="shared" si="15"/>
        <v>3.3523333333333336</v>
      </c>
    </row>
    <row r="163" spans="1:13" x14ac:dyDescent="0.2">
      <c r="A163" s="10">
        <v>42937</v>
      </c>
      <c r="C163">
        <v>3.6</v>
      </c>
      <c r="D163">
        <v>3.6</v>
      </c>
      <c r="E163">
        <v>3.51</v>
      </c>
      <c r="F163">
        <v>3.54</v>
      </c>
      <c r="G163">
        <v>190360360</v>
      </c>
      <c r="H163">
        <v>673674368</v>
      </c>
      <c r="I163" s="13">
        <f t="shared" si="12"/>
        <v>3.5920000000000001</v>
      </c>
      <c r="J163" s="13">
        <f t="shared" si="13"/>
        <v>3.55</v>
      </c>
      <c r="K163" s="13">
        <f t="shared" si="14"/>
        <v>3.4814999999999996</v>
      </c>
      <c r="L163" s="13">
        <f t="shared" si="15"/>
        <v>3.3561666666666667</v>
      </c>
    </row>
    <row r="164" spans="1:13" x14ac:dyDescent="0.2">
      <c r="A164" s="10">
        <v>42940</v>
      </c>
      <c r="C164">
        <v>3.54</v>
      </c>
      <c r="D164">
        <v>3.57</v>
      </c>
      <c r="E164">
        <v>3.53</v>
      </c>
      <c r="F164">
        <v>3.56</v>
      </c>
      <c r="G164">
        <v>111936875</v>
      </c>
      <c r="H164">
        <v>397734304</v>
      </c>
      <c r="I164" s="13">
        <f t="shared" si="12"/>
        <v>3.59</v>
      </c>
      <c r="J164" s="13">
        <f t="shared" si="13"/>
        <v>3.5530000000000008</v>
      </c>
      <c r="K164" s="13">
        <f t="shared" si="14"/>
        <v>3.4904999999999999</v>
      </c>
      <c r="L164" s="13">
        <f t="shared" si="15"/>
        <v>3.3591666666666669</v>
      </c>
    </row>
    <row r="165" spans="1:13" x14ac:dyDescent="0.2">
      <c r="A165" s="10">
        <v>42941</v>
      </c>
      <c r="C165">
        <v>3.56</v>
      </c>
      <c r="D165">
        <v>3.56</v>
      </c>
      <c r="E165">
        <v>3.51</v>
      </c>
      <c r="F165">
        <v>3.56</v>
      </c>
      <c r="G165">
        <v>83429000</v>
      </c>
      <c r="H165">
        <v>294786784</v>
      </c>
      <c r="I165" s="13">
        <f t="shared" si="12"/>
        <v>3.5859999999999999</v>
      </c>
      <c r="J165" s="13">
        <f t="shared" si="13"/>
        <v>3.5549999999999997</v>
      </c>
      <c r="K165" s="13">
        <f t="shared" si="14"/>
        <v>3.5</v>
      </c>
      <c r="L165" s="13">
        <f t="shared" si="15"/>
        <v>3.3626666666666667</v>
      </c>
    </row>
    <row r="166" spans="1:13" x14ac:dyDescent="0.2">
      <c r="A166" s="10">
        <v>42942</v>
      </c>
      <c r="C166">
        <v>3.61</v>
      </c>
      <c r="D166">
        <v>3.7</v>
      </c>
      <c r="E166">
        <v>3.61</v>
      </c>
      <c r="F166">
        <v>3.67</v>
      </c>
      <c r="G166">
        <v>334504900</v>
      </c>
      <c r="H166">
        <v>1225610624</v>
      </c>
      <c r="I166" s="13">
        <f t="shared" si="12"/>
        <v>3.5780000000000003</v>
      </c>
      <c r="J166" s="13">
        <f t="shared" si="13"/>
        <v>3.5640000000000001</v>
      </c>
      <c r="K166" s="13">
        <f t="shared" si="14"/>
        <v>3.5099999999999993</v>
      </c>
      <c r="L166" s="13">
        <f t="shared" si="15"/>
        <v>3.3661666666666665</v>
      </c>
    </row>
    <row r="167" spans="1:13" x14ac:dyDescent="0.2">
      <c r="A167" s="10">
        <v>42943</v>
      </c>
      <c r="C167">
        <v>3.67</v>
      </c>
      <c r="D167">
        <v>3.71</v>
      </c>
      <c r="E167">
        <v>3.62</v>
      </c>
      <c r="F167">
        <v>3.66</v>
      </c>
      <c r="G167">
        <v>185763332</v>
      </c>
      <c r="H167">
        <v>680427968</v>
      </c>
      <c r="I167" s="13">
        <f t="shared" si="12"/>
        <v>3.5840000000000005</v>
      </c>
      <c r="J167" s="13">
        <f t="shared" si="13"/>
        <v>3.5839999999999996</v>
      </c>
      <c r="K167" s="13">
        <f t="shared" si="14"/>
        <v>3.5249999999999995</v>
      </c>
      <c r="L167" s="13">
        <f t="shared" si="15"/>
        <v>3.3709999999999996</v>
      </c>
    </row>
    <row r="168" spans="1:13" x14ac:dyDescent="0.2">
      <c r="A168" s="10">
        <v>42944</v>
      </c>
      <c r="C168">
        <v>3.65</v>
      </c>
      <c r="D168">
        <v>3.66</v>
      </c>
      <c r="E168">
        <v>3.62</v>
      </c>
      <c r="F168">
        <v>3.65</v>
      </c>
      <c r="G168">
        <v>73353019</v>
      </c>
      <c r="H168">
        <v>266833472</v>
      </c>
      <c r="I168" s="13">
        <f t="shared" si="12"/>
        <v>3.5980000000000003</v>
      </c>
      <c r="J168" s="13">
        <f t="shared" si="13"/>
        <v>3.5950000000000002</v>
      </c>
      <c r="K168" s="13">
        <f t="shared" si="14"/>
        <v>3.5384999999999991</v>
      </c>
      <c r="L168" s="13">
        <f t="shared" si="15"/>
        <v>3.3758333333333326</v>
      </c>
    </row>
    <row r="169" spans="1:13" x14ac:dyDescent="0.2">
      <c r="A169" s="10">
        <v>42947</v>
      </c>
      <c r="C169">
        <v>3.66</v>
      </c>
      <c r="D169">
        <v>3.75</v>
      </c>
      <c r="E169">
        <v>3.65</v>
      </c>
      <c r="F169">
        <v>3.73</v>
      </c>
      <c r="G169">
        <v>254215302</v>
      </c>
      <c r="H169">
        <v>945839744</v>
      </c>
      <c r="I169" s="13">
        <f t="shared" si="12"/>
        <v>3.6199999999999997</v>
      </c>
      <c r="J169" s="13">
        <f t="shared" si="13"/>
        <v>3.6049999999999991</v>
      </c>
      <c r="K169" s="13">
        <f t="shared" si="14"/>
        <v>3.5495000000000005</v>
      </c>
      <c r="L169" s="13">
        <f t="shared" si="15"/>
        <v>3.380666666666666</v>
      </c>
    </row>
    <row r="170" spans="1:13" x14ac:dyDescent="0.2">
      <c r="A170" s="10">
        <v>42948</v>
      </c>
      <c r="C170">
        <v>3.73</v>
      </c>
      <c r="D170">
        <v>3.8</v>
      </c>
      <c r="E170">
        <v>3.71</v>
      </c>
      <c r="F170">
        <v>3.76</v>
      </c>
      <c r="G170">
        <v>190882553</v>
      </c>
      <c r="H170">
        <v>715015104</v>
      </c>
      <c r="I170" s="13">
        <f t="shared" si="12"/>
        <v>3.6539999999999999</v>
      </c>
      <c r="J170" s="13">
        <f t="shared" si="13"/>
        <v>3.6199999999999997</v>
      </c>
      <c r="K170" s="13">
        <f t="shared" si="14"/>
        <v>3.5640000000000009</v>
      </c>
      <c r="L170" s="13">
        <f t="shared" si="15"/>
        <v>3.3873333333333324</v>
      </c>
      <c r="M170" t="s">
        <v>86</v>
      </c>
    </row>
    <row r="171" spans="1:13" x14ac:dyDescent="0.2">
      <c r="A171" s="10">
        <v>42949</v>
      </c>
      <c r="C171">
        <v>3.74</v>
      </c>
      <c r="D171">
        <v>3.8</v>
      </c>
      <c r="E171">
        <v>3.7</v>
      </c>
      <c r="F171">
        <v>3.74</v>
      </c>
      <c r="G171">
        <v>174631668</v>
      </c>
      <c r="H171">
        <v>654936896</v>
      </c>
      <c r="I171" s="13">
        <f t="shared" ref="I171:I202" si="16">SUM(F166:F170)/5</f>
        <v>3.694</v>
      </c>
      <c r="J171" s="13">
        <f t="shared" ref="J171:J202" si="17">SUM(F161:F170)/10</f>
        <v>3.6360000000000001</v>
      </c>
      <c r="K171" s="13">
        <f t="shared" ref="K171:K202" si="18">SUM(F151:F170)/20</f>
        <v>3.5795000000000017</v>
      </c>
      <c r="L171" s="13">
        <f t="shared" ref="L171:L202" si="19">SUM(F111:F170)/60</f>
        <v>3.3949999999999991</v>
      </c>
    </row>
    <row r="172" spans="1:13" x14ac:dyDescent="0.2">
      <c r="A172" s="10">
        <v>42950</v>
      </c>
      <c r="C172">
        <v>3.72</v>
      </c>
      <c r="D172">
        <v>3.78</v>
      </c>
      <c r="E172">
        <v>3.71</v>
      </c>
      <c r="F172">
        <v>3.76</v>
      </c>
      <c r="G172">
        <v>130941092</v>
      </c>
      <c r="H172">
        <v>490512768</v>
      </c>
      <c r="I172" s="13">
        <f t="shared" si="16"/>
        <v>3.7079999999999997</v>
      </c>
      <c r="J172" s="13">
        <f t="shared" si="17"/>
        <v>3.6459999999999999</v>
      </c>
      <c r="K172" s="13">
        <f t="shared" si="18"/>
        <v>3.5930000000000009</v>
      </c>
      <c r="L172" s="13">
        <f t="shared" si="19"/>
        <v>3.4024999999999994</v>
      </c>
    </row>
    <row r="173" spans="1:13" x14ac:dyDescent="0.2">
      <c r="A173" s="10">
        <v>42951</v>
      </c>
      <c r="C173">
        <v>3.72</v>
      </c>
      <c r="D173">
        <v>3.85</v>
      </c>
      <c r="E173">
        <v>3.7</v>
      </c>
      <c r="F173">
        <v>3.79</v>
      </c>
      <c r="G173">
        <v>285711757</v>
      </c>
      <c r="H173">
        <v>1082546816</v>
      </c>
      <c r="I173" s="13">
        <f t="shared" si="16"/>
        <v>3.7280000000000002</v>
      </c>
      <c r="J173" s="13">
        <f t="shared" si="17"/>
        <v>3.6630000000000003</v>
      </c>
      <c r="K173" s="13">
        <f t="shared" si="18"/>
        <v>3.6065000000000005</v>
      </c>
      <c r="L173" s="13">
        <f t="shared" si="19"/>
        <v>3.4106666666666663</v>
      </c>
      <c r="M173" t="s">
        <v>71</v>
      </c>
    </row>
    <row r="174" spans="1:13" x14ac:dyDescent="0.2">
      <c r="A174" s="10">
        <v>42954</v>
      </c>
      <c r="C174">
        <v>3.75</v>
      </c>
      <c r="D174">
        <v>3.78</v>
      </c>
      <c r="E174">
        <v>3.7</v>
      </c>
      <c r="F174">
        <v>3.75</v>
      </c>
      <c r="G174">
        <v>189560153</v>
      </c>
      <c r="H174">
        <v>707775936</v>
      </c>
      <c r="I174" s="13">
        <f t="shared" si="16"/>
        <v>3.7560000000000002</v>
      </c>
      <c r="J174" s="13">
        <f t="shared" si="17"/>
        <v>3.6879999999999997</v>
      </c>
      <c r="K174" s="13">
        <f t="shared" si="18"/>
        <v>3.6205000000000012</v>
      </c>
      <c r="L174" s="13">
        <f t="shared" si="19"/>
        <v>3.4199999999999995</v>
      </c>
    </row>
    <row r="175" spans="1:13" x14ac:dyDescent="0.2">
      <c r="A175" s="10">
        <v>42955</v>
      </c>
      <c r="C175">
        <v>3.75</v>
      </c>
      <c r="D175">
        <v>3.98</v>
      </c>
      <c r="E175">
        <v>3.75</v>
      </c>
      <c r="F175">
        <v>3.9</v>
      </c>
      <c r="G175">
        <v>346885514</v>
      </c>
      <c r="H175">
        <v>1346129280</v>
      </c>
      <c r="I175" s="13">
        <f t="shared" si="16"/>
        <v>3.7600000000000002</v>
      </c>
      <c r="J175" s="13">
        <f t="shared" si="17"/>
        <v>3.7069999999999999</v>
      </c>
      <c r="K175" s="13">
        <f t="shared" si="18"/>
        <v>3.6310000000000002</v>
      </c>
      <c r="L175" s="13">
        <f t="shared" si="19"/>
        <v>3.4291666666666663</v>
      </c>
    </row>
    <row r="176" spans="1:13" x14ac:dyDescent="0.2">
      <c r="A176" s="10">
        <v>42956</v>
      </c>
      <c r="C176">
        <v>3.96</v>
      </c>
      <c r="D176">
        <v>4.0599999999999996</v>
      </c>
      <c r="E176">
        <v>3.9</v>
      </c>
      <c r="F176">
        <v>4.0599999999999996</v>
      </c>
      <c r="G176">
        <v>388759688</v>
      </c>
      <c r="H176">
        <v>1555491456</v>
      </c>
      <c r="I176" s="13">
        <f t="shared" si="16"/>
        <v>3.7879999999999994</v>
      </c>
      <c r="J176" s="13">
        <f t="shared" si="17"/>
        <v>3.7409999999999997</v>
      </c>
      <c r="K176" s="13">
        <f t="shared" si="18"/>
        <v>3.6524999999999999</v>
      </c>
      <c r="L176" s="13">
        <f t="shared" si="19"/>
        <v>3.4408333333333325</v>
      </c>
      <c r="M176" t="s">
        <v>79</v>
      </c>
    </row>
    <row r="177" spans="1:13" x14ac:dyDescent="0.2">
      <c r="A177" s="10">
        <v>42957</v>
      </c>
      <c r="C177">
        <v>4.0999999999999996</v>
      </c>
      <c r="D177">
        <v>4.13</v>
      </c>
      <c r="E177">
        <v>3.94</v>
      </c>
      <c r="F177">
        <v>4.04</v>
      </c>
      <c r="G177">
        <v>334823622</v>
      </c>
      <c r="H177">
        <v>1349566080</v>
      </c>
      <c r="I177" s="13">
        <f t="shared" si="16"/>
        <v>3.8520000000000003</v>
      </c>
      <c r="J177" s="13">
        <f t="shared" si="17"/>
        <v>3.78</v>
      </c>
      <c r="K177" s="13">
        <f t="shared" si="18"/>
        <v>3.6819999999999999</v>
      </c>
      <c r="L177" s="13">
        <f t="shared" si="19"/>
        <v>3.4549999999999996</v>
      </c>
    </row>
    <row r="178" spans="1:13" x14ac:dyDescent="0.2">
      <c r="A178" s="10">
        <v>42958</v>
      </c>
      <c r="C178">
        <v>4.03</v>
      </c>
      <c r="D178">
        <v>4.13</v>
      </c>
      <c r="E178">
        <v>3.85</v>
      </c>
      <c r="F178">
        <v>3.88</v>
      </c>
      <c r="G178">
        <v>396294869</v>
      </c>
      <c r="H178">
        <v>1574782592</v>
      </c>
      <c r="I178" s="13">
        <f t="shared" si="16"/>
        <v>3.9079999999999999</v>
      </c>
      <c r="J178" s="13">
        <f t="shared" si="17"/>
        <v>3.8180000000000001</v>
      </c>
      <c r="K178" s="13">
        <f t="shared" si="18"/>
        <v>3.7065000000000006</v>
      </c>
      <c r="L178" s="13">
        <f t="shared" si="19"/>
        <v>3.4681666666666664</v>
      </c>
    </row>
    <row r="179" spans="1:13" x14ac:dyDescent="0.2">
      <c r="A179" s="10">
        <v>42961</v>
      </c>
      <c r="C179">
        <v>3.86</v>
      </c>
      <c r="D179">
        <v>3.9</v>
      </c>
      <c r="E179">
        <v>3.76</v>
      </c>
      <c r="F179">
        <v>3.79</v>
      </c>
      <c r="G179">
        <v>306003244</v>
      </c>
      <c r="H179">
        <v>1165727104</v>
      </c>
      <c r="I179" s="13">
        <f t="shared" si="16"/>
        <v>3.9259999999999997</v>
      </c>
      <c r="J179" s="13">
        <f t="shared" si="17"/>
        <v>3.8410000000000002</v>
      </c>
      <c r="K179" s="13">
        <f t="shared" si="18"/>
        <v>3.722999999999999</v>
      </c>
      <c r="L179" s="13">
        <f t="shared" si="19"/>
        <v>3.4788333333333328</v>
      </c>
    </row>
    <row r="180" spans="1:13" x14ac:dyDescent="0.2">
      <c r="A180" s="10">
        <v>42962</v>
      </c>
      <c r="C180">
        <v>3.76</v>
      </c>
      <c r="D180">
        <v>3.76</v>
      </c>
      <c r="E180">
        <v>3.68</v>
      </c>
      <c r="F180">
        <v>3.73</v>
      </c>
      <c r="G180">
        <v>208219832</v>
      </c>
      <c r="H180">
        <v>774454720</v>
      </c>
      <c r="I180" s="13">
        <f t="shared" si="16"/>
        <v>3.9339999999999997</v>
      </c>
      <c r="J180" s="13">
        <f t="shared" si="17"/>
        <v>3.847</v>
      </c>
      <c r="K180" s="13">
        <f t="shared" si="18"/>
        <v>3.7335000000000003</v>
      </c>
      <c r="L180" s="13">
        <f t="shared" si="19"/>
        <v>3.4874999999999994</v>
      </c>
    </row>
    <row r="181" spans="1:13" x14ac:dyDescent="0.2">
      <c r="A181" s="10">
        <v>42963</v>
      </c>
      <c r="C181">
        <v>3.71</v>
      </c>
      <c r="D181">
        <v>3.72</v>
      </c>
      <c r="E181">
        <v>3.64</v>
      </c>
      <c r="F181">
        <v>3.66</v>
      </c>
      <c r="G181">
        <v>176159598</v>
      </c>
      <c r="H181">
        <v>646675648</v>
      </c>
      <c r="I181" s="13">
        <f t="shared" si="16"/>
        <v>3.9</v>
      </c>
      <c r="J181" s="13">
        <f t="shared" si="17"/>
        <v>3.843999999999999</v>
      </c>
      <c r="K181" s="13">
        <f t="shared" si="18"/>
        <v>3.7400000000000007</v>
      </c>
      <c r="L181" s="13">
        <f t="shared" si="19"/>
        <v>3.4956666666666658</v>
      </c>
    </row>
    <row r="182" spans="1:13" x14ac:dyDescent="0.2">
      <c r="A182" s="10">
        <v>42964</v>
      </c>
      <c r="C182">
        <v>3.77</v>
      </c>
      <c r="D182">
        <v>3.83</v>
      </c>
      <c r="E182">
        <v>3.74</v>
      </c>
      <c r="F182">
        <v>3.82</v>
      </c>
      <c r="G182">
        <v>298267315</v>
      </c>
      <c r="H182">
        <v>1128601856</v>
      </c>
      <c r="I182" s="13">
        <f t="shared" si="16"/>
        <v>3.8200000000000003</v>
      </c>
      <c r="J182" s="13">
        <f t="shared" si="17"/>
        <v>3.8359999999999999</v>
      </c>
      <c r="K182" s="13">
        <f t="shared" si="18"/>
        <v>3.7410000000000005</v>
      </c>
      <c r="L182" s="13">
        <f t="shared" si="19"/>
        <v>3.5028333333333324</v>
      </c>
    </row>
    <row r="183" spans="1:13" x14ac:dyDescent="0.2">
      <c r="A183" s="10">
        <v>42965</v>
      </c>
      <c r="C183">
        <v>3.77</v>
      </c>
      <c r="D183">
        <v>3.78</v>
      </c>
      <c r="E183">
        <v>3.69</v>
      </c>
      <c r="F183">
        <v>3.76</v>
      </c>
      <c r="G183">
        <v>133647237</v>
      </c>
      <c r="H183">
        <v>499783232</v>
      </c>
      <c r="I183" s="13">
        <f t="shared" si="16"/>
        <v>3.7759999999999998</v>
      </c>
      <c r="J183" s="13">
        <f t="shared" si="17"/>
        <v>3.8419999999999996</v>
      </c>
      <c r="K183" s="13">
        <f t="shared" si="18"/>
        <v>3.7524999999999999</v>
      </c>
      <c r="L183" s="13">
        <f t="shared" si="19"/>
        <v>3.5119999999999991</v>
      </c>
      <c r="M183" t="s">
        <v>72</v>
      </c>
    </row>
    <row r="184" spans="1:13" x14ac:dyDescent="0.2">
      <c r="A184" s="10">
        <v>42968</v>
      </c>
      <c r="C184">
        <v>3.77</v>
      </c>
      <c r="D184">
        <v>3.78</v>
      </c>
      <c r="E184">
        <v>3.71</v>
      </c>
      <c r="F184">
        <v>3.78</v>
      </c>
      <c r="G184">
        <v>122319456</v>
      </c>
      <c r="H184">
        <v>459272832</v>
      </c>
      <c r="I184" s="13">
        <f t="shared" si="16"/>
        <v>3.7519999999999998</v>
      </c>
      <c r="J184" s="13">
        <f t="shared" si="17"/>
        <v>3.8389999999999995</v>
      </c>
      <c r="K184" s="13">
        <f t="shared" si="18"/>
        <v>3.7634999999999996</v>
      </c>
      <c r="L184" s="13">
        <f t="shared" si="19"/>
        <v>3.5204999999999989</v>
      </c>
      <c r="M184" t="s">
        <v>73</v>
      </c>
    </row>
    <row r="185" spans="1:13" x14ac:dyDescent="0.2">
      <c r="A185" s="10">
        <v>42969</v>
      </c>
      <c r="C185">
        <v>3.77</v>
      </c>
      <c r="D185">
        <v>3.79</v>
      </c>
      <c r="E185">
        <v>3.73</v>
      </c>
      <c r="F185">
        <v>3.75</v>
      </c>
      <c r="G185">
        <v>102040385</v>
      </c>
      <c r="H185">
        <v>383308608</v>
      </c>
      <c r="I185" s="13">
        <f t="shared" si="16"/>
        <v>3.75</v>
      </c>
      <c r="J185" s="13">
        <f t="shared" si="17"/>
        <v>3.8420000000000001</v>
      </c>
      <c r="K185" s="13">
        <f t="shared" si="18"/>
        <v>3.7744999999999997</v>
      </c>
      <c r="L185" s="13">
        <f t="shared" si="19"/>
        <v>3.5289999999999986</v>
      </c>
    </row>
    <row r="186" spans="1:13" x14ac:dyDescent="0.2">
      <c r="A186" s="10">
        <v>42970</v>
      </c>
      <c r="C186">
        <v>3.73</v>
      </c>
      <c r="D186">
        <v>3.73</v>
      </c>
      <c r="E186">
        <v>3.66</v>
      </c>
      <c r="F186">
        <v>3.67</v>
      </c>
      <c r="G186">
        <v>127874012</v>
      </c>
      <c r="H186">
        <v>470677280</v>
      </c>
      <c r="I186" s="13">
        <f t="shared" si="16"/>
        <v>3.754</v>
      </c>
      <c r="J186" s="13">
        <f t="shared" si="17"/>
        <v>3.8270000000000004</v>
      </c>
      <c r="K186" s="13">
        <f t="shared" si="18"/>
        <v>3.7839999999999998</v>
      </c>
      <c r="L186" s="13">
        <f t="shared" si="19"/>
        <v>3.5368333333333322</v>
      </c>
    </row>
    <row r="187" spans="1:13" x14ac:dyDescent="0.2">
      <c r="A187" s="10">
        <v>42971</v>
      </c>
      <c r="C187">
        <v>3.67</v>
      </c>
      <c r="D187">
        <v>3.7</v>
      </c>
      <c r="E187">
        <v>3.63</v>
      </c>
      <c r="F187">
        <v>3.64</v>
      </c>
      <c r="G187">
        <v>70797731</v>
      </c>
      <c r="H187">
        <v>259242784</v>
      </c>
      <c r="I187" s="13">
        <f t="shared" si="16"/>
        <v>3.7560000000000002</v>
      </c>
      <c r="J187" s="13">
        <f t="shared" si="17"/>
        <v>3.7880000000000003</v>
      </c>
      <c r="K187" s="13">
        <f t="shared" si="18"/>
        <v>3.7839999999999998</v>
      </c>
      <c r="L187" s="13">
        <f t="shared" si="19"/>
        <v>3.5433333333333317</v>
      </c>
    </row>
    <row r="188" spans="1:13" x14ac:dyDescent="0.2">
      <c r="A188" s="10">
        <v>42972</v>
      </c>
      <c r="C188">
        <v>3.65</v>
      </c>
      <c r="D188">
        <v>3.72</v>
      </c>
      <c r="E188">
        <v>3.64</v>
      </c>
      <c r="F188">
        <v>3.7</v>
      </c>
      <c r="G188">
        <v>114121793</v>
      </c>
      <c r="H188">
        <v>421918272</v>
      </c>
      <c r="I188" s="13">
        <f t="shared" si="16"/>
        <v>3.7199999999999998</v>
      </c>
      <c r="J188" s="13">
        <f t="shared" si="17"/>
        <v>3.7480000000000002</v>
      </c>
      <c r="K188" s="13">
        <f t="shared" si="18"/>
        <v>3.7829999999999999</v>
      </c>
      <c r="L188" s="13">
        <f t="shared" si="19"/>
        <v>3.5494999999999979</v>
      </c>
    </row>
    <row r="189" spans="1:13" x14ac:dyDescent="0.2">
      <c r="A189" s="10">
        <v>42975</v>
      </c>
      <c r="C189">
        <v>3.71</v>
      </c>
      <c r="D189">
        <v>3.76</v>
      </c>
      <c r="E189">
        <v>3.67</v>
      </c>
      <c r="F189">
        <v>3.74</v>
      </c>
      <c r="G189">
        <v>206350110</v>
      </c>
      <c r="H189">
        <v>766853056</v>
      </c>
      <c r="I189" s="13">
        <f t="shared" si="16"/>
        <v>3.7079999999999997</v>
      </c>
      <c r="J189" s="13">
        <f t="shared" si="17"/>
        <v>3.7300000000000004</v>
      </c>
      <c r="K189" s="13">
        <f t="shared" si="18"/>
        <v>3.7855000000000003</v>
      </c>
      <c r="L189" s="13">
        <f t="shared" si="19"/>
        <v>3.5568333333333313</v>
      </c>
    </row>
    <row r="190" spans="1:13" x14ac:dyDescent="0.2">
      <c r="A190" s="10">
        <v>42976</v>
      </c>
      <c r="C190">
        <v>3.78</v>
      </c>
      <c r="D190">
        <v>3.82</v>
      </c>
      <c r="E190">
        <v>3.76</v>
      </c>
      <c r="F190">
        <v>3.79</v>
      </c>
      <c r="G190">
        <v>223368910</v>
      </c>
      <c r="H190">
        <v>846620800</v>
      </c>
      <c r="I190" s="13">
        <f t="shared" si="16"/>
        <v>3.7</v>
      </c>
      <c r="J190" s="13">
        <f t="shared" si="17"/>
        <v>3.7250000000000005</v>
      </c>
      <c r="K190" s="13">
        <f t="shared" si="18"/>
        <v>3.786</v>
      </c>
      <c r="L190" s="13">
        <f t="shared" si="19"/>
        <v>3.5644999999999984</v>
      </c>
    </row>
    <row r="191" spans="1:13" x14ac:dyDescent="0.2">
      <c r="A191" s="10">
        <v>42977</v>
      </c>
      <c r="C191">
        <v>3.77</v>
      </c>
      <c r="D191">
        <v>3.82</v>
      </c>
      <c r="E191">
        <v>3.74</v>
      </c>
      <c r="F191">
        <v>3.77</v>
      </c>
      <c r="G191">
        <v>198967999</v>
      </c>
      <c r="H191">
        <v>750680384</v>
      </c>
      <c r="I191" s="13">
        <f t="shared" si="16"/>
        <v>3.7080000000000006</v>
      </c>
      <c r="J191" s="13">
        <f t="shared" si="17"/>
        <v>3.7309999999999994</v>
      </c>
      <c r="K191" s="13">
        <f t="shared" si="18"/>
        <v>3.7875000000000001</v>
      </c>
      <c r="L191" s="13">
        <f t="shared" si="19"/>
        <v>3.5726666666666649</v>
      </c>
    </row>
    <row r="192" spans="1:13" x14ac:dyDescent="0.2">
      <c r="A192" s="10">
        <v>42978</v>
      </c>
      <c r="C192">
        <v>3.76</v>
      </c>
      <c r="D192">
        <v>3.77</v>
      </c>
      <c r="E192">
        <v>3.71</v>
      </c>
      <c r="F192">
        <v>3.75</v>
      </c>
      <c r="G192">
        <v>117638656</v>
      </c>
      <c r="H192">
        <v>439332256</v>
      </c>
      <c r="I192" s="13">
        <f t="shared" si="16"/>
        <v>3.7280000000000002</v>
      </c>
      <c r="J192" s="13">
        <f t="shared" si="17"/>
        <v>3.742</v>
      </c>
      <c r="K192" s="13">
        <f t="shared" si="18"/>
        <v>3.7890000000000001</v>
      </c>
      <c r="L192" s="13">
        <f t="shared" si="19"/>
        <v>3.5801666666666652</v>
      </c>
    </row>
    <row r="193" spans="1:13" x14ac:dyDescent="0.2">
      <c r="A193" s="10">
        <v>42979</v>
      </c>
      <c r="C193">
        <v>3.77</v>
      </c>
      <c r="D193">
        <v>4.09</v>
      </c>
      <c r="E193">
        <v>3.77</v>
      </c>
      <c r="F193">
        <v>4.04</v>
      </c>
      <c r="G193">
        <v>521784167</v>
      </c>
      <c r="H193">
        <v>2045698944</v>
      </c>
      <c r="I193" s="13">
        <f t="shared" si="16"/>
        <v>3.75</v>
      </c>
      <c r="J193" s="13">
        <f t="shared" si="17"/>
        <v>3.7350000000000003</v>
      </c>
      <c r="K193" s="13">
        <f t="shared" si="18"/>
        <v>3.7885</v>
      </c>
      <c r="L193" s="13">
        <f t="shared" si="19"/>
        <v>3.5878333333333319</v>
      </c>
      <c r="M193" t="s">
        <v>87</v>
      </c>
    </row>
    <row r="194" spans="1:13" x14ac:dyDescent="0.2">
      <c r="A194" s="10">
        <v>42982</v>
      </c>
      <c r="C194">
        <v>4.2</v>
      </c>
      <c r="D194">
        <v>4.32</v>
      </c>
      <c r="E194">
        <v>4.08</v>
      </c>
      <c r="F194">
        <v>4.3</v>
      </c>
      <c r="G194">
        <v>578001845</v>
      </c>
      <c r="H194">
        <v>2420321280</v>
      </c>
      <c r="I194" s="13">
        <f t="shared" si="16"/>
        <v>3.8180000000000001</v>
      </c>
      <c r="J194" s="13">
        <f t="shared" si="17"/>
        <v>3.7630000000000003</v>
      </c>
      <c r="K194" s="13">
        <f t="shared" si="18"/>
        <v>3.8010000000000006</v>
      </c>
      <c r="L194" s="13">
        <f t="shared" si="19"/>
        <v>3.6001666666666656</v>
      </c>
    </row>
    <row r="195" spans="1:13" x14ac:dyDescent="0.2">
      <c r="A195" s="10">
        <v>42983</v>
      </c>
      <c r="C195">
        <v>4.24</v>
      </c>
      <c r="D195">
        <v>4.32</v>
      </c>
      <c r="E195">
        <v>4.16</v>
      </c>
      <c r="F195">
        <v>4.2699999999999996</v>
      </c>
      <c r="G195">
        <v>348337767</v>
      </c>
      <c r="H195">
        <v>1476594816</v>
      </c>
      <c r="I195" s="13">
        <f t="shared" si="16"/>
        <v>3.9300000000000006</v>
      </c>
      <c r="J195" s="13">
        <f t="shared" si="17"/>
        <v>3.8149999999999999</v>
      </c>
      <c r="K195" s="13">
        <f t="shared" si="18"/>
        <v>3.8285000000000005</v>
      </c>
      <c r="L195" s="13">
        <f t="shared" si="19"/>
        <v>3.6176666666666657</v>
      </c>
    </row>
    <row r="196" spans="1:13" x14ac:dyDescent="0.2">
      <c r="A196" s="10">
        <v>42984</v>
      </c>
      <c r="C196">
        <v>4.28</v>
      </c>
      <c r="D196">
        <v>4.46</v>
      </c>
      <c r="E196">
        <v>4.22</v>
      </c>
      <c r="F196">
        <v>4.38</v>
      </c>
      <c r="G196">
        <v>463099282</v>
      </c>
      <c r="H196">
        <v>2022419456</v>
      </c>
      <c r="I196" s="13">
        <f t="shared" si="16"/>
        <v>4.0259999999999998</v>
      </c>
      <c r="J196" s="13">
        <f t="shared" si="17"/>
        <v>3.867</v>
      </c>
      <c r="K196" s="13">
        <f t="shared" si="18"/>
        <v>3.8470000000000004</v>
      </c>
      <c r="L196" s="13">
        <f t="shared" si="19"/>
        <v>3.6336666666666657</v>
      </c>
    </row>
    <row r="197" spans="1:13" x14ac:dyDescent="0.2">
      <c r="A197" s="10">
        <v>42985</v>
      </c>
      <c r="C197">
        <v>4.29</v>
      </c>
      <c r="D197">
        <v>4.34</v>
      </c>
      <c r="E197">
        <v>4.1500000000000004</v>
      </c>
      <c r="F197">
        <v>4.17</v>
      </c>
      <c r="G197">
        <v>258237080</v>
      </c>
      <c r="H197">
        <v>1096560512</v>
      </c>
      <c r="I197" s="13">
        <f t="shared" si="16"/>
        <v>4.1479999999999997</v>
      </c>
      <c r="J197" s="13">
        <f t="shared" si="17"/>
        <v>3.9380000000000002</v>
      </c>
      <c r="K197" s="13">
        <f t="shared" si="18"/>
        <v>3.8630000000000004</v>
      </c>
      <c r="L197" s="13">
        <f t="shared" si="19"/>
        <v>3.6514999999999991</v>
      </c>
    </row>
    <row r="198" spans="1:13" x14ac:dyDescent="0.2">
      <c r="A198" s="10">
        <v>42986</v>
      </c>
      <c r="C198">
        <v>4.22</v>
      </c>
      <c r="D198">
        <v>4.37</v>
      </c>
      <c r="E198">
        <v>4.18</v>
      </c>
      <c r="F198">
        <v>4.29</v>
      </c>
      <c r="G198">
        <v>336567248</v>
      </c>
      <c r="H198">
        <v>1439895424</v>
      </c>
      <c r="I198" s="13">
        <f t="shared" si="16"/>
        <v>4.2319999999999993</v>
      </c>
      <c r="J198" s="13">
        <f t="shared" si="17"/>
        <v>3.9910000000000005</v>
      </c>
      <c r="K198" s="13">
        <f t="shared" si="18"/>
        <v>3.8694999999999999</v>
      </c>
      <c r="L198" s="13">
        <f t="shared" si="19"/>
        <v>3.665166666666666</v>
      </c>
      <c r="M198" t="s">
        <v>74</v>
      </c>
    </row>
    <row r="199" spans="1:13" x14ac:dyDescent="0.2">
      <c r="A199" s="10">
        <v>42989</v>
      </c>
      <c r="C199">
        <v>4.18</v>
      </c>
      <c r="D199">
        <v>4.2</v>
      </c>
      <c r="E199">
        <v>4.0599999999999996</v>
      </c>
      <c r="F199">
        <v>4.16</v>
      </c>
      <c r="G199">
        <v>435950330</v>
      </c>
      <c r="H199">
        <v>1803947008</v>
      </c>
      <c r="I199" s="13">
        <f t="shared" si="16"/>
        <v>4.2819999999999991</v>
      </c>
      <c r="J199" s="13">
        <f t="shared" si="17"/>
        <v>4.05</v>
      </c>
      <c r="K199" s="13">
        <f t="shared" si="18"/>
        <v>3.8900000000000006</v>
      </c>
      <c r="L199" s="13">
        <f t="shared" si="19"/>
        <v>3.6808333333333323</v>
      </c>
      <c r="M199" t="s">
        <v>80</v>
      </c>
    </row>
    <row r="200" spans="1:13" x14ac:dyDescent="0.2">
      <c r="A200" s="10">
        <v>42990</v>
      </c>
      <c r="C200">
        <v>4.1100000000000003</v>
      </c>
      <c r="D200">
        <v>4.1900000000000004</v>
      </c>
      <c r="E200">
        <v>4.08</v>
      </c>
      <c r="F200">
        <v>4.1399999999999997</v>
      </c>
      <c r="G200">
        <v>306246616</v>
      </c>
      <c r="H200">
        <v>1262142720</v>
      </c>
      <c r="I200" s="13">
        <f t="shared" si="16"/>
        <v>4.2539999999999996</v>
      </c>
      <c r="J200" s="13">
        <f t="shared" si="17"/>
        <v>4.0920000000000005</v>
      </c>
      <c r="K200" s="13">
        <f t="shared" si="18"/>
        <v>3.9085000000000001</v>
      </c>
      <c r="L200" s="13">
        <f t="shared" si="19"/>
        <v>3.6943333333333324</v>
      </c>
    </row>
    <row r="201" spans="1:13" x14ac:dyDescent="0.2">
      <c r="A201" s="10">
        <v>42991</v>
      </c>
      <c r="C201">
        <v>4.1100000000000003</v>
      </c>
      <c r="D201">
        <v>4.13</v>
      </c>
      <c r="E201">
        <v>4.03</v>
      </c>
      <c r="F201">
        <v>4.05</v>
      </c>
      <c r="G201">
        <v>233460021</v>
      </c>
      <c r="H201">
        <v>950100480</v>
      </c>
      <c r="I201" s="13">
        <f t="shared" si="16"/>
        <v>4.2279999999999998</v>
      </c>
      <c r="J201" s="13">
        <f t="shared" si="17"/>
        <v>4.1269999999999998</v>
      </c>
      <c r="K201" s="13">
        <f t="shared" si="18"/>
        <v>3.9289999999999998</v>
      </c>
      <c r="L201" s="13">
        <f t="shared" si="19"/>
        <v>3.707833333333332</v>
      </c>
    </row>
    <row r="202" spans="1:13" x14ac:dyDescent="0.2">
      <c r="A202" s="10">
        <v>42992</v>
      </c>
      <c r="C202">
        <v>4.01</v>
      </c>
      <c r="D202">
        <v>4.05</v>
      </c>
      <c r="E202">
        <v>3.98</v>
      </c>
      <c r="F202">
        <v>4.01</v>
      </c>
      <c r="G202">
        <v>212775283</v>
      </c>
      <c r="H202">
        <v>852650368</v>
      </c>
      <c r="I202" s="13">
        <f t="shared" si="16"/>
        <v>4.1620000000000008</v>
      </c>
      <c r="J202" s="13">
        <f t="shared" si="17"/>
        <v>4.1549999999999994</v>
      </c>
      <c r="K202" s="13">
        <f t="shared" si="18"/>
        <v>3.9485000000000001</v>
      </c>
      <c r="L202" s="13">
        <f t="shared" si="19"/>
        <v>3.719666666666666</v>
      </c>
    </row>
  </sheetData>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复星医药 彩礼</vt:lpstr>
      <vt:lpstr>金风科技 婚宴</vt:lpstr>
      <vt:lpstr>紫金矿业 婚房</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用户</dc:creator>
  <cp:lastModifiedBy>Microsoft Office 用户</cp:lastModifiedBy>
  <dcterms:created xsi:type="dcterms:W3CDTF">2017-10-27T01:27:53Z</dcterms:created>
  <dcterms:modified xsi:type="dcterms:W3CDTF">2017-11-14T03:46:29Z</dcterms:modified>
</cp:coreProperties>
</file>