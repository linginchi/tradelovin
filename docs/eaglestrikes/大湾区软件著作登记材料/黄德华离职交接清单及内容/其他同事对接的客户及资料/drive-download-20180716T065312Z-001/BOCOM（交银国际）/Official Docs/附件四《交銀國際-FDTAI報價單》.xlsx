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zhouwen/Desktop/"/>
    </mc:Choice>
  </mc:AlternateContent>
  <bookViews>
    <workbookView xWindow="820" yWindow="520" windowWidth="25600" windowHeight="14600" tabRatio="500"/>
  </bookViews>
  <sheets>
    <sheet name="报价单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" i="1" l="1"/>
  <c r="F18" i="1"/>
  <c r="E53" i="1"/>
  <c r="F45" i="1"/>
  <c r="F46" i="1"/>
  <c r="E55" i="1"/>
  <c r="F32" i="1"/>
  <c r="F33" i="1"/>
  <c r="E54" i="1"/>
  <c r="E56" i="1"/>
  <c r="H53" i="1"/>
  <c r="F20" i="1"/>
  <c r="F48" i="1"/>
  <c r="F35" i="1"/>
</calcChain>
</file>

<file path=xl/sharedStrings.xml><?xml version="1.0" encoding="utf-8"?>
<sst xmlns="http://schemas.openxmlformats.org/spreadsheetml/2006/main" count="109" uniqueCount="100">
  <si>
    <t>产品模块</t>
    <rPh sb="0" eb="1">
      <t>chan'p</t>
    </rPh>
    <rPh sb="2" eb="3">
      <t>mo'kuai</t>
    </rPh>
    <phoneticPr fontId="4" type="noConversion"/>
  </si>
  <si>
    <t>功能</t>
    <rPh sb="0" eb="1">
      <t>gong'n</t>
    </rPh>
    <phoneticPr fontId="4" type="noConversion"/>
  </si>
  <si>
    <t>相似股票</t>
    <rPh sb="0" eb="1">
      <t>xiang'si</t>
    </rPh>
    <rPh sb="2" eb="3">
      <t>gu'piao</t>
    </rPh>
    <phoneticPr fontId="4" type="noConversion"/>
  </si>
  <si>
    <t>APP端</t>
    <rPh sb="3" eb="4">
      <t>duan</t>
    </rPh>
    <phoneticPr fontId="4" type="noConversion"/>
  </si>
  <si>
    <t>VPN</t>
    <phoneticPr fontId="4" type="noConversion"/>
  </si>
  <si>
    <t>列表</t>
    <rPh sb="0" eb="1">
      <t>lie'b</t>
    </rPh>
    <phoneticPr fontId="4" type="noConversion"/>
  </si>
  <si>
    <t>FDT-AI智能形態分析產品（一期項目）</t>
    <rPh sb="6" eb="7">
      <t>zhi'n</t>
    </rPh>
    <rPh sb="8" eb="9">
      <t>xing'tai</t>
    </rPh>
    <rPh sb="10" eb="11">
      <t>fen'xi</t>
    </rPh>
    <rPh sb="12" eb="13">
      <t>chan'p</t>
    </rPh>
    <rPh sb="15" eb="16">
      <t>yi'qi</t>
    </rPh>
    <rPh sb="16" eb="17">
      <t>qi</t>
    </rPh>
    <rPh sb="17" eb="18">
      <t>xiang'm</t>
    </rPh>
    <phoneticPr fontId="4" type="noConversion"/>
  </si>
  <si>
    <t>基本信息</t>
    <rPh sb="0" eb="1">
      <t>ji'ben</t>
    </rPh>
    <rPh sb="2" eb="3">
      <t>xin'xi</t>
    </rPh>
    <phoneticPr fontId="4" type="noConversion"/>
  </si>
  <si>
    <t>公司名称：香港智能金融科技有限公司</t>
    <phoneticPr fontId="4" type="noConversion"/>
  </si>
  <si>
    <t>聯絡電話：+852 2481 4166</t>
    <phoneticPr fontId="4" type="noConversion"/>
  </si>
  <si>
    <t>公司地址：香港科學園3期12W座713室</t>
    <phoneticPr fontId="4" type="noConversion"/>
  </si>
  <si>
    <t>傳真：+852  2481 4199</t>
    <phoneticPr fontId="4" type="noConversion"/>
  </si>
  <si>
    <t>項目負責人：曹琛，FDT-AI 總監</t>
    <phoneticPr fontId="4" type="noConversion"/>
  </si>
  <si>
    <t>項目時間：</t>
    <phoneticPr fontId="4" type="noConversion"/>
  </si>
  <si>
    <t>項目名稱：智能形態分析</t>
    <phoneticPr fontId="4" type="noConversion"/>
  </si>
  <si>
    <t>報價日期：2018年01月18日</t>
    <phoneticPr fontId="4" type="noConversion"/>
  </si>
  <si>
    <t>軟件產品服務報價</t>
    <phoneticPr fontId="4" type="noConversion"/>
  </si>
  <si>
    <t>產品名稱</t>
    <phoneticPr fontId="4" type="noConversion"/>
  </si>
  <si>
    <t>終端版本</t>
    <phoneticPr fontId="4" type="noConversion"/>
  </si>
  <si>
    <t>應用目的</t>
    <phoneticPr fontId="4" type="noConversion"/>
  </si>
  <si>
    <t>費用（萬/人民幣）</t>
    <phoneticPr fontId="4" type="noConversion"/>
  </si>
  <si>
    <t>智能形態分析</t>
    <phoneticPr fontId="4" type="noConversion"/>
  </si>
  <si>
    <t>當前K線形態</t>
    <phoneticPr fontId="4" type="noConversion"/>
  </si>
  <si>
    <t>當前技術指標</t>
    <phoneticPr fontId="4" type="noConversion"/>
  </si>
  <si>
    <t>個股形態畫像</t>
    <phoneticPr fontId="4" type="noConversion"/>
  </si>
  <si>
    <t>用戶形態操作畫像</t>
    <phoneticPr fontId="4" type="noConversion"/>
  </si>
  <si>
    <t>當前持倉</t>
    <phoneticPr fontId="4" type="noConversion"/>
  </si>
  <si>
    <t>歷史持倉</t>
    <phoneticPr fontId="4" type="noConversion"/>
  </si>
  <si>
    <t>經典K線形態識別、分析（7個）</t>
    <phoneticPr fontId="4" type="noConversion"/>
  </si>
  <si>
    <t>經典技術指標識別及分析（4個）</t>
    <phoneticPr fontId="4" type="noConversion"/>
  </si>
  <si>
    <t>形態表現及形態策略</t>
    <phoneticPr fontId="4" type="noConversion"/>
  </si>
  <si>
    <t>用戶在當前股票的形態操作表現</t>
    <phoneticPr fontId="4" type="noConversion"/>
  </si>
  <si>
    <t>智能形態選股</t>
    <phoneticPr fontId="4" type="noConversion"/>
  </si>
  <si>
    <t>智能盯盤</t>
    <phoneticPr fontId="4" type="noConversion"/>
  </si>
  <si>
    <t>復盤分析</t>
    <phoneticPr fontId="4" type="noConversion"/>
  </si>
  <si>
    <t>為用戶提供港股通、港股的K線形態識別和分析</t>
    <phoneticPr fontId="4" type="noConversion"/>
  </si>
  <si>
    <t>該技術指標是展示近15個交易日內出現的經典技術指標，是對K線形態的信號補充</t>
    <phoneticPr fontId="4" type="noConversion"/>
  </si>
  <si>
    <t>通過對個股的歷史形態數據進行回測，為用戶展示個股形態表現及形態操作策略</t>
    <phoneticPr fontId="4" type="noConversion"/>
  </si>
  <si>
    <t>通過分析用戶的交易記錄及個股行情數據，展示用戶歷史操作該只股票K線形態的表現</t>
    <phoneticPr fontId="4" type="noConversion"/>
  </si>
  <si>
    <t>對滬港通及港股的當前K線形態進行掃描匹配，為用戶提供與當前持倉股相同形態下的相似“PE”及“市值”的股票列表</t>
    <phoneticPr fontId="4" type="noConversion"/>
  </si>
  <si>
    <t>分析識別用戶的當前持倉股票中的形態信號，從技術形態的角度為用戶提供決策提醒</t>
    <phoneticPr fontId="4" type="noConversion"/>
  </si>
  <si>
    <t>針對用戶的歷史形態操作進行匯總，為用戶提供復盤分析功能</t>
    <phoneticPr fontId="4" type="noConversion"/>
  </si>
  <si>
    <t>小計：</t>
  </si>
  <si>
    <t>小計：</t>
    <rPh sb="0" eb="1">
      <t>xiao'ji</t>
    </rPh>
    <phoneticPr fontId="4" type="noConversion"/>
  </si>
  <si>
    <t>總計：</t>
  </si>
  <si>
    <t>總計：</t>
    <rPh sb="0" eb="1">
      <t>zong'ji</t>
    </rPh>
    <phoneticPr fontId="4" type="noConversion"/>
  </si>
  <si>
    <t>優惠比例</t>
  </si>
  <si>
    <t>優惠比例</t>
    <rPh sb="0" eb="1">
      <t>you'hui'bi'li</t>
    </rPh>
    <phoneticPr fontId="4" type="noConversion"/>
  </si>
  <si>
    <t>優惠后總計</t>
  </si>
  <si>
    <t>優惠后總計</t>
    <rPh sb="0" eb="1">
      <t>you'hui'hou</t>
    </rPh>
    <rPh sb="3" eb="4">
      <t>zong'ji</t>
    </rPh>
    <phoneticPr fontId="4" type="noConversion"/>
  </si>
  <si>
    <t>硬件基礎資源報價</t>
    <rPh sb="0" eb="1">
      <t>ying'jian</t>
    </rPh>
    <rPh sb="2" eb="3">
      <t>ji'chu</t>
    </rPh>
    <rPh sb="4" eb="5">
      <t>zi'yuan</t>
    </rPh>
    <rPh sb="6" eb="7">
      <t>bao'j</t>
    </rPh>
    <phoneticPr fontId="4" type="noConversion"/>
  </si>
  <si>
    <t>名稱</t>
    <rPh sb="0" eb="1">
      <t>m'c</t>
    </rPh>
    <phoneticPr fontId="4" type="noConversion"/>
  </si>
  <si>
    <t>硬件資源</t>
    <rPh sb="0" eb="1">
      <t>ying'j</t>
    </rPh>
    <rPh sb="2" eb="3">
      <t>zi'y</t>
    </rPh>
    <phoneticPr fontId="4" type="noConversion"/>
  </si>
  <si>
    <t>具體資源配置</t>
    <rPh sb="0" eb="1">
      <t>ju't</t>
    </rPh>
    <rPh sb="2" eb="3">
      <t>zi'yuan</t>
    </rPh>
    <rPh sb="4" eb="5">
      <t>pei'z</t>
    </rPh>
    <phoneticPr fontId="4" type="noConversion"/>
  </si>
  <si>
    <t>數量</t>
    <rPh sb="0" eb="1">
      <t>shu'l</t>
    </rPh>
    <phoneticPr fontId="4" type="noConversion"/>
  </si>
  <si>
    <t>硬件基礎資源</t>
    <phoneticPr fontId="4" type="noConversion"/>
  </si>
  <si>
    <t>計算資源</t>
    <phoneticPr fontId="4" type="noConversion"/>
  </si>
  <si>
    <t>存儲資源</t>
    <phoneticPr fontId="4" type="noConversion"/>
  </si>
  <si>
    <t>帶寬資源</t>
    <phoneticPr fontId="4" type="noConversion"/>
  </si>
  <si>
    <t>雲盾</t>
    <phoneticPr fontId="4" type="noConversion"/>
  </si>
  <si>
    <t>人力資源成本</t>
    <rPh sb="0" eb="1">
      <t>ren'li'zi'yuan'c'b</t>
    </rPh>
    <phoneticPr fontId="4" type="noConversion"/>
  </si>
  <si>
    <t>後期維護費用</t>
    <rPh sb="0" eb="1">
      <t>hou'qi</t>
    </rPh>
    <rPh sb="2" eb="3">
      <t>wei'hu</t>
    </rPh>
    <rPh sb="4" eb="5">
      <t>fei'y</t>
    </rPh>
    <phoneticPr fontId="4" type="noConversion"/>
  </si>
  <si>
    <t>項目內容</t>
    <rPh sb="0" eb="1">
      <t>x'm</t>
    </rPh>
    <rPh sb="2" eb="3">
      <t>nei'r</t>
    </rPh>
    <phoneticPr fontId="4" type="noConversion"/>
  </si>
  <si>
    <t>後台算法</t>
    <rPh sb="0" eb="1">
      <t>hou'tai</t>
    </rPh>
    <rPh sb="2" eb="3">
      <t>suan'fa</t>
    </rPh>
    <phoneticPr fontId="4" type="noConversion"/>
  </si>
  <si>
    <t>實施部署</t>
    <rPh sb="0" eb="1">
      <t>shi's</t>
    </rPh>
    <rPh sb="2" eb="3">
      <t>bu'shu</t>
    </rPh>
    <phoneticPr fontId="4" type="noConversion"/>
  </si>
  <si>
    <t>軟件維護</t>
    <rPh sb="0" eb="1">
      <t>ruan'jian</t>
    </rPh>
    <rPh sb="2" eb="3">
      <t>wei'hu</t>
    </rPh>
    <phoneticPr fontId="4" type="noConversion"/>
  </si>
  <si>
    <t>詳情</t>
    <rPh sb="0" eb="1">
      <t>xiang'qing</t>
    </rPh>
    <phoneticPr fontId="4" type="noConversion"/>
  </si>
  <si>
    <t>形態識別、策略回測、算法推薦模型</t>
    <phoneticPr fontId="4" type="noConversion"/>
  </si>
  <si>
    <t>工程開發部署</t>
    <phoneticPr fontId="4" type="noConversion"/>
  </si>
  <si>
    <t>形態新增、指標新增、算法模型調優等</t>
    <phoneticPr fontId="4" type="noConversion"/>
  </si>
  <si>
    <t>開發人/月</t>
    <phoneticPr fontId="4" type="noConversion"/>
  </si>
  <si>
    <t>開發費用</t>
    <phoneticPr fontId="4" type="noConversion"/>
  </si>
  <si>
    <t>費用匯總</t>
    <phoneticPr fontId="4" type="noConversion"/>
  </si>
  <si>
    <t>軟件產品報價</t>
    <phoneticPr fontId="4" type="noConversion"/>
  </si>
  <si>
    <t>硬件基礎資源報價</t>
    <phoneticPr fontId="4" type="noConversion"/>
  </si>
  <si>
    <t>費用總計</t>
    <rPh sb="0" eb="1">
      <t>fei'y</t>
    </rPh>
    <rPh sb="2" eb="3">
      <t>zong'ji</t>
    </rPh>
    <phoneticPr fontId="4" type="noConversion"/>
  </si>
  <si>
    <t>前後端開發</t>
    <phoneticPr fontId="4" type="noConversion"/>
  </si>
  <si>
    <t>產品前後端的具體開發</t>
    <phoneticPr fontId="4" type="noConversion"/>
  </si>
  <si>
    <t>產品經理、設計師</t>
    <rPh sb="0" eb="1">
      <t>chan'p</t>
    </rPh>
    <rPh sb="2" eb="3">
      <t>jing'l</t>
    </rPh>
    <rPh sb="5" eb="6">
      <t>she'ji</t>
    </rPh>
    <rPh sb="7" eb="8">
      <t>shi</t>
    </rPh>
    <phoneticPr fontId="4" type="noConversion"/>
  </si>
  <si>
    <t>產品功能設計、設計師UI美化等</t>
    <rPh sb="0" eb="1">
      <t>chan'p</t>
    </rPh>
    <rPh sb="2" eb="3">
      <t>g'n</t>
    </rPh>
    <rPh sb="4" eb="5">
      <t>she'ji</t>
    </rPh>
    <rPh sb="7" eb="8">
      <t>she'ji's</t>
    </rPh>
    <rPh sb="12" eb="13">
      <t>mei'hua</t>
    </rPh>
    <rPh sb="14" eb="15">
      <t>deng</t>
    </rPh>
    <phoneticPr fontId="4" type="noConversion"/>
  </si>
  <si>
    <t>2*1</t>
    <phoneticPr fontId="4" type="noConversion"/>
  </si>
  <si>
    <t>2*3</t>
    <phoneticPr fontId="4" type="noConversion"/>
  </si>
  <si>
    <t>内存：</t>
    <rPh sb="0" eb="1">
      <t>nei'c</t>
    </rPh>
    <phoneticPr fontId="4" type="noConversion"/>
  </si>
  <si>
    <t>數據庫：</t>
    <phoneticPr fontId="4" type="noConversion"/>
  </si>
  <si>
    <t>帶寬線路：</t>
    <phoneticPr fontId="4" type="noConversion"/>
  </si>
  <si>
    <r>
      <rPr>
        <b/>
        <sz val="12"/>
        <color theme="1"/>
        <rFont val="DengXian (正文)"/>
        <charset val="134"/>
      </rPr>
      <t>CPU</t>
    </r>
    <r>
      <rPr>
        <sz val="12"/>
        <color theme="1"/>
        <rFont val="DengXian (正文)"/>
        <charset val="134"/>
      </rPr>
      <t>：</t>
    </r>
  </si>
  <si>
    <r>
      <rPr>
        <b/>
        <sz val="12"/>
        <color theme="1"/>
        <rFont val="DengXian (正文)"/>
        <charset val="134"/>
      </rPr>
      <t>GPU</t>
    </r>
    <r>
      <rPr>
        <sz val="12"/>
        <color theme="1"/>
        <rFont val="DengXian (正文)"/>
        <charset val="134"/>
      </rPr>
      <t>：</t>
    </r>
  </si>
  <si>
    <t>3450 GB</t>
  </si>
  <si>
    <t>5 Mbps</t>
  </si>
  <si>
    <t>3</t>
  </si>
  <si>
    <t>25 GB</t>
  </si>
  <si>
    <t>0</t>
  </si>
  <si>
    <t>9</t>
  </si>
  <si>
    <t>信息安全服務</t>
    <phoneticPr fontId="4" type="noConversion"/>
  </si>
  <si>
    <t>行情数据</t>
    <rPh sb="0" eb="1">
      <t>hang'q</t>
    </rPh>
    <rPh sb="2" eb="3">
      <t>shu'ju</t>
    </rPh>
    <phoneticPr fontId="4" type="noConversion"/>
  </si>
  <si>
    <t>港股通行情数据、港股行情数据</t>
    <rPh sb="0" eb="1">
      <t>gang'gu</t>
    </rPh>
    <rPh sb="2" eb="3">
      <t>tong</t>
    </rPh>
    <rPh sb="3" eb="4">
      <t>hang'q</t>
    </rPh>
    <rPh sb="5" eb="6">
      <t>shu'ju</t>
    </rPh>
    <rPh sb="8" eb="9">
      <t>gang'gu</t>
    </rPh>
    <rPh sb="10" eb="11">
      <t>hang'q</t>
    </rPh>
    <rPh sb="12" eb="13">
      <t>shu'ju</t>
    </rPh>
    <phoneticPr fontId="4" type="noConversion"/>
  </si>
  <si>
    <t>港股通行情数据、港股行情数据</t>
    <phoneticPr fontId="4" type="noConversion"/>
  </si>
  <si>
    <t>其他費用</t>
    <rPh sb="0" eb="1">
      <t>qi'ta</t>
    </rPh>
    <phoneticPr fontId="4" type="noConversion"/>
  </si>
  <si>
    <t>4*2</t>
    <phoneticPr fontId="4" type="noConversion"/>
  </si>
  <si>
    <t>配置信息</t>
    <rPh sb="0" eb="1">
      <t>pei'z</t>
    </rPh>
    <rPh sb="2" eb="3">
      <t>xin'xi</t>
    </rPh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</si>
</sst>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_ "/>
  </numFmts>
  <fonts count="13" x14ac:knownFonts="1">
    <font>
      <sz val="12"/>
      <color theme="1"/>
      <name val="DengXian"/>
      <family val="2"/>
      <charset val="134"/>
      <scheme val="minor"/>
    </font>
    <font>
      <sz val="12"/>
      <color theme="1"/>
      <name val="DengXian"/>
      <family val="2"/>
      <charset val="134"/>
      <scheme val="minor"/>
    </font>
    <font>
      <u/>
      <sz val="12"/>
      <color theme="10"/>
      <name val="DengXian"/>
      <family val="2"/>
      <scheme val="minor"/>
    </font>
    <font>
      <u/>
      <sz val="12"/>
      <color theme="11"/>
      <name val="DengXian"/>
      <family val="2"/>
      <scheme val="minor"/>
    </font>
    <font>
      <sz val="9"/>
      <name val="DengXian"/>
      <family val="3"/>
      <charset val="134"/>
      <scheme val="minor"/>
    </font>
    <font>
      <b/>
      <sz val="12"/>
      <color theme="1"/>
      <name val="DengXian"/>
      <family val="2"/>
      <scheme val="minor"/>
    </font>
    <font>
      <b/>
      <sz val="14"/>
      <color theme="1"/>
      <name val="DengXian"/>
      <family val="2"/>
      <scheme val="minor"/>
    </font>
    <font>
      <sz val="12"/>
      <color rgb="FFFF0000"/>
      <name val="DengXian"/>
      <family val="2"/>
      <charset val="134"/>
      <scheme val="minor"/>
    </font>
    <font>
      <sz val="12"/>
      <color theme="1"/>
      <name val="DengXian (正文)"/>
      <charset val="134"/>
    </font>
    <font>
      <b/>
      <sz val="18"/>
      <color theme="1"/>
      <name val="DengXian"/>
      <family val="4"/>
      <charset val="134"/>
      <scheme val="minor"/>
    </font>
    <font>
      <b/>
      <sz val="12"/>
      <color theme="1"/>
      <name val="DengXian (正文)"/>
      <charset val="134"/>
    </font>
    <font>
      <sz val="12"/>
      <color rgb="FF000000"/>
      <name val="DengXian"/>
      <family val="4"/>
      <charset val="134"/>
      <scheme val="minor"/>
    </font>
    <font>
      <b/>
      <sz val="12"/>
      <color rgb="FF000000"/>
      <name val="DengXian"/>
      <family val="4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1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7" xfId="0" applyNumberFormat="1" applyBorder="1" applyAlignment="1">
      <alignment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49" fontId="0" fillId="0" borderId="7" xfId="0" applyNumberForma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vertical="center" wrapText="1"/>
    </xf>
    <xf numFmtId="49" fontId="0" fillId="6" borderId="0" xfId="0" applyNumberFormat="1" applyFill="1" applyBorder="1" applyAlignment="1">
      <alignment vertical="center" wrapText="1"/>
    </xf>
    <xf numFmtId="49" fontId="8" fillId="0" borderId="10" xfId="0" applyNumberFormat="1" applyFont="1" applyBorder="1" applyAlignment="1">
      <alignment horizontal="left" vertical="center" wrapText="1"/>
    </xf>
    <xf numFmtId="49" fontId="5" fillId="4" borderId="8" xfId="0" applyNumberFormat="1" applyFont="1" applyFill="1" applyBorder="1" applyAlignment="1">
      <alignment horizontal="left" vertical="center" wrapText="1"/>
    </xf>
    <xf numFmtId="49" fontId="11" fillId="0" borderId="7" xfId="0" applyNumberFormat="1" applyFont="1" applyBorder="1" applyAlignment="1">
      <alignment horizontal="left" vertical="center" wrapText="1"/>
    </xf>
    <xf numFmtId="49" fontId="11" fillId="0" borderId="9" xfId="0" applyNumberFormat="1" applyFont="1" applyBorder="1" applyAlignment="1">
      <alignment horizontal="left" vertical="center" wrapText="1"/>
    </xf>
    <xf numFmtId="49" fontId="12" fillId="8" borderId="12" xfId="0" applyNumberFormat="1" applyFont="1" applyFill="1" applyBorder="1" applyAlignment="1">
      <alignment horizontal="left" vertical="center" wrapText="1"/>
    </xf>
    <xf numFmtId="49" fontId="0" fillId="0" borderId="7" xfId="0" applyNumberForma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176" fontId="0" fillId="0" borderId="8" xfId="0" applyNumberFormat="1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right" vertical="center" wrapText="1"/>
    </xf>
    <xf numFmtId="49" fontId="5" fillId="0" borderId="5" xfId="0" applyNumberFormat="1" applyFont="1" applyBorder="1" applyAlignment="1">
      <alignment horizontal="right" vertical="center" wrapText="1"/>
    </xf>
    <xf numFmtId="49" fontId="5" fillId="0" borderId="11" xfId="0" applyNumberFormat="1" applyFont="1" applyBorder="1" applyAlignment="1">
      <alignment horizontal="right" vertical="center" wrapText="1"/>
    </xf>
    <xf numFmtId="49" fontId="5" fillId="9" borderId="7" xfId="0" applyNumberFormat="1" applyFont="1" applyFill="1" applyBorder="1" applyAlignment="1">
      <alignment horizontal="center" vertical="center" wrapText="1"/>
    </xf>
    <xf numFmtId="177" fontId="5" fillId="9" borderId="7" xfId="0" applyNumberFormat="1" applyFont="1" applyFill="1" applyBorder="1" applyAlignment="1">
      <alignment horizontal="center" vertical="center" wrapText="1"/>
    </xf>
    <xf numFmtId="49" fontId="9" fillId="7" borderId="7" xfId="0" applyNumberFormat="1" applyFont="1" applyFill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left" vertical="center" wrapText="1"/>
    </xf>
    <xf numFmtId="49" fontId="5" fillId="0" borderId="19" xfId="0" applyNumberFormat="1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 wrapText="1"/>
    </xf>
    <xf numFmtId="176" fontId="0" fillId="0" borderId="10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176" fontId="0" fillId="0" borderId="11" xfId="0" applyNumberFormat="1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 wrapText="1"/>
    </xf>
    <xf numFmtId="10" fontId="7" fillId="0" borderId="7" xfId="5" applyNumberFormat="1" applyFont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9" fillId="5" borderId="7" xfId="0" applyNumberFormat="1" applyFont="1" applyFill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7" xfId="0" applyNumberFormat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left" vertical="center" wrapText="1"/>
    </xf>
    <xf numFmtId="49" fontId="9" fillId="0" borderId="13" xfId="0" applyNumberFormat="1" applyFont="1" applyFill="1" applyBorder="1" applyAlignment="1">
      <alignment horizontal="center" vertical="center" wrapText="1"/>
    </xf>
    <xf numFmtId="49" fontId="5" fillId="0" borderId="19" xfId="0" applyNumberFormat="1" applyFont="1" applyFill="1" applyBorder="1" applyAlignment="1">
      <alignment horizontal="center" vertical="center" wrapText="1"/>
    </xf>
    <xf numFmtId="49" fontId="5" fillId="0" borderId="15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20" xfId="0" applyNumberFormat="1" applyFont="1" applyFill="1" applyBorder="1" applyAlignment="1">
      <alignment horizontal="center" vertical="center" wrapText="1"/>
    </xf>
    <xf numFmtId="49" fontId="5" fillId="3" borderId="10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11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  <xf numFmtId="49" fontId="0" fillId="0" borderId="7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center" vertical="center" wrapText="1"/>
    </xf>
    <xf numFmtId="10" fontId="7" fillId="0" borderId="7" xfId="0" applyNumberFormat="1" applyFont="1" applyBorder="1" applyAlignment="1">
      <alignment horizontal="center" vertical="center" wrapText="1"/>
    </xf>
    <xf numFmtId="49" fontId="9" fillId="6" borderId="0" xfId="0" applyNumberFormat="1" applyFont="1" applyFill="1" applyBorder="1" applyAlignment="1">
      <alignment horizontal="center" vertical="center" wrapText="1"/>
    </xf>
    <xf numFmtId="176" fontId="5" fillId="4" borderId="8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5" fillId="3" borderId="13" xfId="0" applyNumberFormat="1" applyFont="1" applyFill="1" applyBorder="1" applyAlignment="1">
      <alignment horizontal="center" vertical="center" wrapText="1"/>
    </xf>
    <xf numFmtId="49" fontId="5" fillId="3" borderId="14" xfId="0" applyNumberFormat="1" applyFont="1" applyFill="1" applyBorder="1" applyAlignment="1">
      <alignment horizontal="center" vertical="center" wrapText="1"/>
    </xf>
    <xf numFmtId="49" fontId="5" fillId="3" borderId="17" xfId="0" applyNumberFormat="1" applyFont="1" applyFill="1" applyBorder="1" applyAlignment="1">
      <alignment horizontal="center" vertical="center" wrapText="1"/>
    </xf>
    <xf numFmtId="49" fontId="5" fillId="3" borderId="18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center" vertical="center" wrapText="1"/>
    </xf>
    <xf numFmtId="0" fontId="5" fillId="3" borderId="19" xfId="0" applyNumberFormat="1" applyFont="1" applyFill="1" applyBorder="1" applyAlignment="1">
      <alignment horizontal="center" vertical="center" wrapText="1"/>
    </xf>
    <xf numFmtId="0" fontId="5" fillId="3" borderId="14" xfId="0" applyNumberFormat="1" applyFont="1" applyFill="1" applyBorder="1" applyAlignment="1">
      <alignment horizontal="center" vertical="center" wrapText="1"/>
    </xf>
    <xf numFmtId="0" fontId="5" fillId="3" borderId="17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8" xfId="0" applyNumberFormat="1" applyFont="1" applyFill="1" applyBorder="1" applyAlignment="1">
      <alignment horizontal="center" vertical="center" wrapText="1"/>
    </xf>
  </cellXfs>
  <cellStyles count="18">
    <cellStyle name="百分比" xfId="5" builtinId="5"/>
    <cellStyle name="常规" xfId="0" builtinId="0"/>
    <cellStyle name="超链接" xfId="1" builtinId="8" hidden="1"/>
    <cellStyle name="超链接" xfId="3" builtinId="8" hidden="1"/>
    <cellStyle name="超链接" xfId="6" builtinId="8" hidden="1"/>
    <cellStyle name="超链接" xfId="8" builtinId="8" hidden="1"/>
    <cellStyle name="超链接" xfId="10" builtinId="8" hidden="1"/>
    <cellStyle name="超链接" xfId="12" builtinId="8" hidden="1"/>
    <cellStyle name="超链接" xfId="14" builtinId="8" hidden="1"/>
    <cellStyle name="超链接" xfId="16" builtinId="8" hidden="1"/>
    <cellStyle name="已访问的超链接" xfId="2" builtinId="9" hidden="1"/>
    <cellStyle name="已访问的超链接" xfId="4" builtinId="9" hidden="1"/>
    <cellStyle name="已访问的超链接" xfId="7" builtinId="9" hidden="1"/>
    <cellStyle name="已访问的超链接" xfId="9" builtinId="9" hidden="1"/>
    <cellStyle name="已访问的超链接" xfId="11" builtinId="9" hidden="1"/>
    <cellStyle name="已访问的超链接" xfId="13" builtinId="9" hidden="1"/>
    <cellStyle name="已访问的超链接" xfId="15" builtinId="9" hidden="1"/>
    <cellStyle name="已访问的超链接" xfId="17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topLeftCell="A54" zoomScale="80" zoomScaleNormal="80" zoomScalePageLayoutView="80" workbookViewId="0">
      <selection activeCell="D61" sqref="D61"/>
    </sheetView>
  </sheetViews>
  <sheetFormatPr baseColWidth="10" defaultColWidth="28.6640625" defaultRowHeight="15" customHeight="1" x14ac:dyDescent="0.2"/>
  <cols>
    <col min="1" max="2" width="17.83203125" style="1" customWidth="1"/>
    <col min="3" max="4" width="35.33203125" style="1" customWidth="1"/>
    <col min="5" max="5" width="22.33203125" style="1" customWidth="1"/>
    <col min="6" max="6" width="17.1640625" style="1" customWidth="1"/>
    <col min="7" max="7" width="17.83203125" style="1" customWidth="1"/>
    <col min="8" max="8" width="17.5" style="1" customWidth="1"/>
    <col min="9" max="9" width="19.33203125" style="1" customWidth="1"/>
    <col min="10" max="16384" width="28.6640625" style="1"/>
  </cols>
  <sheetData>
    <row r="1" spans="1:9" ht="40" customHeight="1" x14ac:dyDescent="0.2">
      <c r="A1" s="74" t="s">
        <v>6</v>
      </c>
      <c r="B1" s="75"/>
      <c r="C1" s="75"/>
      <c r="D1" s="75"/>
      <c r="E1" s="75"/>
      <c r="F1" s="75"/>
      <c r="G1" s="75"/>
      <c r="H1" s="75"/>
      <c r="I1" s="76"/>
    </row>
    <row r="2" spans="1:9" ht="40" customHeight="1" x14ac:dyDescent="0.2">
      <c r="A2" s="77" t="s">
        <v>7</v>
      </c>
      <c r="B2" s="78"/>
      <c r="C2" s="78"/>
      <c r="D2" s="78"/>
      <c r="E2" s="78"/>
      <c r="F2" s="78"/>
      <c r="G2" s="78"/>
      <c r="H2" s="78"/>
      <c r="I2" s="79"/>
    </row>
    <row r="3" spans="1:9" ht="40" customHeight="1" x14ac:dyDescent="0.2">
      <c r="A3" s="51" t="s">
        <v>8</v>
      </c>
      <c r="B3" s="51"/>
      <c r="C3" s="51"/>
      <c r="D3" s="5"/>
      <c r="E3" s="80" t="s">
        <v>10</v>
      </c>
      <c r="F3" s="80"/>
      <c r="G3" s="80"/>
      <c r="H3" s="80"/>
      <c r="I3" s="80"/>
    </row>
    <row r="4" spans="1:9" ht="40" customHeight="1" x14ac:dyDescent="0.2">
      <c r="A4" s="51" t="s">
        <v>9</v>
      </c>
      <c r="B4" s="51"/>
      <c r="C4" s="51"/>
      <c r="D4" s="5"/>
      <c r="E4" s="51" t="s">
        <v>11</v>
      </c>
      <c r="F4" s="51"/>
      <c r="G4" s="51"/>
      <c r="H4" s="51"/>
      <c r="I4" s="51"/>
    </row>
    <row r="5" spans="1:9" ht="40" customHeight="1" x14ac:dyDescent="0.2">
      <c r="A5" s="51" t="s">
        <v>12</v>
      </c>
      <c r="B5" s="51"/>
      <c r="C5" s="51"/>
      <c r="D5" s="5"/>
      <c r="E5" s="51" t="s">
        <v>13</v>
      </c>
      <c r="F5" s="51"/>
      <c r="G5" s="51"/>
      <c r="H5" s="51"/>
      <c r="I5" s="51"/>
    </row>
    <row r="6" spans="1:9" ht="40" customHeight="1" x14ac:dyDescent="0.2">
      <c r="A6" s="51" t="s">
        <v>14</v>
      </c>
      <c r="B6" s="51"/>
      <c r="C6" s="51"/>
      <c r="D6" s="5"/>
      <c r="E6" s="51" t="s">
        <v>15</v>
      </c>
      <c r="F6" s="51"/>
      <c r="G6" s="51"/>
      <c r="H6" s="51"/>
      <c r="I6" s="51"/>
    </row>
    <row r="7" spans="1:9" ht="29" customHeight="1" x14ac:dyDescent="0.2">
      <c r="A7" s="44" t="s">
        <v>16</v>
      </c>
      <c r="B7" s="44"/>
      <c r="C7" s="44"/>
      <c r="D7" s="44"/>
      <c r="E7" s="44"/>
      <c r="F7" s="44"/>
      <c r="G7" s="44"/>
      <c r="H7" s="44"/>
      <c r="I7" s="44"/>
    </row>
    <row r="8" spans="1:9" ht="29" customHeight="1" x14ac:dyDescent="0.2">
      <c r="A8" s="44"/>
      <c r="B8" s="44"/>
      <c r="C8" s="44"/>
      <c r="D8" s="44"/>
      <c r="E8" s="44"/>
      <c r="F8" s="44"/>
      <c r="G8" s="44"/>
      <c r="H8" s="44"/>
      <c r="I8" s="44"/>
    </row>
    <row r="9" spans="1:9" s="2" customFormat="1" ht="30" customHeight="1" x14ac:dyDescent="0.2">
      <c r="A9" s="4" t="s">
        <v>17</v>
      </c>
      <c r="B9" s="4" t="s">
        <v>18</v>
      </c>
      <c r="C9" s="4" t="s">
        <v>0</v>
      </c>
      <c r="D9" s="4" t="s">
        <v>1</v>
      </c>
      <c r="E9" s="4" t="s">
        <v>19</v>
      </c>
      <c r="F9" s="58" t="s">
        <v>20</v>
      </c>
      <c r="G9" s="59"/>
      <c r="H9" s="59"/>
      <c r="I9" s="60"/>
    </row>
    <row r="10" spans="1:9" ht="80" customHeight="1" x14ac:dyDescent="0.2">
      <c r="A10" s="61" t="s">
        <v>21</v>
      </c>
      <c r="B10" s="62" t="s">
        <v>3</v>
      </c>
      <c r="C10" s="3" t="s">
        <v>22</v>
      </c>
      <c r="D10" s="3" t="s">
        <v>28</v>
      </c>
      <c r="E10" s="3" t="s">
        <v>35</v>
      </c>
      <c r="F10" s="34">
        <v>10</v>
      </c>
      <c r="G10" s="34"/>
      <c r="H10" s="34"/>
      <c r="I10" s="34"/>
    </row>
    <row r="11" spans="1:9" ht="80" customHeight="1" x14ac:dyDescent="0.2">
      <c r="A11" s="61"/>
      <c r="B11" s="62"/>
      <c r="C11" s="3" t="s">
        <v>23</v>
      </c>
      <c r="D11" s="3" t="s">
        <v>29</v>
      </c>
      <c r="E11" s="3" t="s">
        <v>36</v>
      </c>
      <c r="F11" s="34">
        <v>5</v>
      </c>
      <c r="G11" s="34"/>
      <c r="H11" s="34"/>
      <c r="I11" s="34"/>
    </row>
    <row r="12" spans="1:9" ht="80" customHeight="1" x14ac:dyDescent="0.2">
      <c r="A12" s="61"/>
      <c r="B12" s="62"/>
      <c r="C12" s="3" t="s">
        <v>24</v>
      </c>
      <c r="D12" s="3" t="s">
        <v>30</v>
      </c>
      <c r="E12" s="3" t="s">
        <v>37</v>
      </c>
      <c r="F12" s="34">
        <v>5</v>
      </c>
      <c r="G12" s="34"/>
      <c r="H12" s="34"/>
      <c r="I12" s="34"/>
    </row>
    <row r="13" spans="1:9" ht="80" customHeight="1" x14ac:dyDescent="0.2">
      <c r="A13" s="61"/>
      <c r="B13" s="62"/>
      <c r="C13" s="3" t="s">
        <v>25</v>
      </c>
      <c r="D13" s="3" t="s">
        <v>31</v>
      </c>
      <c r="E13" s="3" t="s">
        <v>38</v>
      </c>
      <c r="F13" s="34">
        <v>5</v>
      </c>
      <c r="G13" s="34"/>
      <c r="H13" s="34"/>
      <c r="I13" s="34"/>
    </row>
    <row r="14" spans="1:9" ht="80" customHeight="1" x14ac:dyDescent="0.2">
      <c r="A14" s="61"/>
      <c r="B14" s="62"/>
      <c r="C14" s="3" t="s">
        <v>2</v>
      </c>
      <c r="D14" s="3" t="s">
        <v>32</v>
      </c>
      <c r="E14" s="3" t="s">
        <v>39</v>
      </c>
      <c r="F14" s="34">
        <v>5</v>
      </c>
      <c r="G14" s="34"/>
      <c r="H14" s="34"/>
      <c r="I14" s="34"/>
    </row>
    <row r="15" spans="1:9" ht="80" customHeight="1" x14ac:dyDescent="0.2">
      <c r="A15" s="61"/>
      <c r="B15" s="62"/>
      <c r="C15" s="3" t="s">
        <v>26</v>
      </c>
      <c r="D15" s="3" t="s">
        <v>33</v>
      </c>
      <c r="E15" s="3" t="s">
        <v>40</v>
      </c>
      <c r="F15" s="34">
        <v>5</v>
      </c>
      <c r="G15" s="34"/>
      <c r="H15" s="34"/>
      <c r="I15" s="34"/>
    </row>
    <row r="16" spans="1:9" ht="80" customHeight="1" x14ac:dyDescent="0.2">
      <c r="A16" s="61"/>
      <c r="B16" s="62"/>
      <c r="C16" s="3" t="s">
        <v>27</v>
      </c>
      <c r="D16" s="3" t="s">
        <v>34</v>
      </c>
      <c r="E16" s="3" t="s">
        <v>41</v>
      </c>
      <c r="F16" s="34">
        <v>5</v>
      </c>
      <c r="G16" s="34"/>
      <c r="H16" s="34"/>
      <c r="I16" s="34"/>
    </row>
    <row r="17" spans="1:9" ht="30" customHeight="1" x14ac:dyDescent="0.2">
      <c r="A17" s="72"/>
      <c r="B17" s="72"/>
      <c r="C17" s="72"/>
      <c r="D17" s="72"/>
      <c r="E17" s="6" t="s">
        <v>43</v>
      </c>
      <c r="F17" s="31">
        <f>SUM(F10:I16)</f>
        <v>40</v>
      </c>
      <c r="G17" s="32"/>
      <c r="H17" s="32"/>
      <c r="I17" s="33"/>
    </row>
    <row r="18" spans="1:9" ht="30" customHeight="1" x14ac:dyDescent="0.2">
      <c r="A18" s="72"/>
      <c r="B18" s="72"/>
      <c r="C18" s="72"/>
      <c r="D18" s="72"/>
      <c r="E18" s="6" t="s">
        <v>45</v>
      </c>
      <c r="F18" s="34">
        <f>SUM(F17:I17)</f>
        <v>40</v>
      </c>
      <c r="G18" s="34"/>
      <c r="H18" s="34"/>
      <c r="I18" s="34"/>
    </row>
    <row r="19" spans="1:9" ht="30" customHeight="1" x14ac:dyDescent="0.2">
      <c r="A19" s="72"/>
      <c r="B19" s="72"/>
      <c r="C19" s="72"/>
      <c r="D19" s="72"/>
      <c r="E19" s="6" t="s">
        <v>47</v>
      </c>
      <c r="F19" s="71">
        <v>0.8</v>
      </c>
      <c r="G19" s="71"/>
      <c r="H19" s="71"/>
      <c r="I19" s="71"/>
    </row>
    <row r="20" spans="1:9" ht="30" customHeight="1" x14ac:dyDescent="0.2">
      <c r="A20" s="72"/>
      <c r="B20" s="72"/>
      <c r="C20" s="72"/>
      <c r="D20" s="72"/>
      <c r="E20" s="12" t="s">
        <v>49</v>
      </c>
      <c r="F20" s="73">
        <f>F18*F19</f>
        <v>32</v>
      </c>
      <c r="G20" s="73"/>
      <c r="H20" s="73"/>
      <c r="I20" s="73"/>
    </row>
    <row r="21" spans="1:9" s="10" customFormat="1" ht="30" customHeight="1" x14ac:dyDescent="0.2">
      <c r="A21" s="44" t="s">
        <v>50</v>
      </c>
      <c r="B21" s="44"/>
      <c r="C21" s="44"/>
      <c r="D21" s="44"/>
      <c r="E21" s="44"/>
      <c r="F21" s="44"/>
      <c r="G21" s="44"/>
      <c r="H21" s="44"/>
      <c r="I21" s="44"/>
    </row>
    <row r="22" spans="1:9" s="10" customFormat="1" ht="30" customHeight="1" x14ac:dyDescent="0.2">
      <c r="A22" s="44"/>
      <c r="B22" s="44"/>
      <c r="C22" s="44"/>
      <c r="D22" s="44"/>
      <c r="E22" s="44"/>
      <c r="F22" s="44"/>
      <c r="G22" s="44"/>
      <c r="H22" s="44"/>
      <c r="I22" s="44"/>
    </row>
    <row r="23" spans="1:9" ht="30" customHeight="1" x14ac:dyDescent="0.2">
      <c r="A23" s="69" t="s">
        <v>51</v>
      </c>
      <c r="B23" s="81" t="s">
        <v>52</v>
      </c>
      <c r="C23" s="82"/>
      <c r="D23" s="68" t="s">
        <v>53</v>
      </c>
      <c r="E23" s="68"/>
      <c r="F23" s="85" t="s">
        <v>20</v>
      </c>
      <c r="G23" s="86"/>
      <c r="H23" s="86"/>
      <c r="I23" s="87"/>
    </row>
    <row r="24" spans="1:9" ht="30" customHeight="1" x14ac:dyDescent="0.2">
      <c r="A24" s="70"/>
      <c r="B24" s="83"/>
      <c r="C24" s="84"/>
      <c r="D24" s="4" t="s">
        <v>99</v>
      </c>
      <c r="E24" s="4" t="s">
        <v>54</v>
      </c>
      <c r="F24" s="88"/>
      <c r="G24" s="89"/>
      <c r="H24" s="89"/>
      <c r="I24" s="90"/>
    </row>
    <row r="25" spans="1:9" ht="26" customHeight="1" x14ac:dyDescent="0.2">
      <c r="A25" s="45" t="s">
        <v>55</v>
      </c>
      <c r="B25" s="47" t="s">
        <v>56</v>
      </c>
      <c r="C25" s="38"/>
      <c r="D25" s="11" t="s">
        <v>85</v>
      </c>
      <c r="E25" s="8" t="s">
        <v>92</v>
      </c>
      <c r="F25" s="34">
        <v>0.99</v>
      </c>
      <c r="G25" s="34"/>
      <c r="H25" s="34"/>
      <c r="I25" s="34"/>
    </row>
    <row r="26" spans="1:9" ht="26" customHeight="1" x14ac:dyDescent="0.2">
      <c r="A26" s="46"/>
      <c r="B26" s="48"/>
      <c r="C26" s="40"/>
      <c r="D26" s="11" t="s">
        <v>86</v>
      </c>
      <c r="E26" s="8" t="s">
        <v>91</v>
      </c>
      <c r="F26" s="31">
        <v>0</v>
      </c>
      <c r="G26" s="32"/>
      <c r="H26" s="32"/>
      <c r="I26" s="33"/>
    </row>
    <row r="27" spans="1:9" ht="26" customHeight="1" x14ac:dyDescent="0.2">
      <c r="A27" s="46"/>
      <c r="B27" s="49"/>
      <c r="C27" s="50"/>
      <c r="D27" s="11" t="s">
        <v>82</v>
      </c>
      <c r="E27" s="8" t="s">
        <v>90</v>
      </c>
      <c r="F27" s="31">
        <v>1.2</v>
      </c>
      <c r="G27" s="32"/>
      <c r="H27" s="32"/>
      <c r="I27" s="33"/>
    </row>
    <row r="28" spans="1:9" ht="26" customHeight="1" x14ac:dyDescent="0.2">
      <c r="A28" s="46"/>
      <c r="B28" s="41" t="s">
        <v>57</v>
      </c>
      <c r="C28" s="43"/>
      <c r="D28" s="11" t="s">
        <v>83</v>
      </c>
      <c r="E28" s="8" t="s">
        <v>87</v>
      </c>
      <c r="F28" s="31">
        <v>1.3</v>
      </c>
      <c r="G28" s="32"/>
      <c r="H28" s="32"/>
      <c r="I28" s="33"/>
    </row>
    <row r="29" spans="1:9" ht="26" customHeight="1" x14ac:dyDescent="0.2">
      <c r="A29" s="46"/>
      <c r="B29" s="47" t="s">
        <v>58</v>
      </c>
      <c r="C29" s="38"/>
      <c r="D29" s="17" t="s">
        <v>84</v>
      </c>
      <c r="E29" s="8" t="s">
        <v>88</v>
      </c>
      <c r="F29" s="31">
        <v>1.29910375</v>
      </c>
      <c r="G29" s="32"/>
      <c r="H29" s="32"/>
      <c r="I29" s="33"/>
    </row>
    <row r="30" spans="1:9" ht="26" customHeight="1" x14ac:dyDescent="0.2">
      <c r="A30" s="46"/>
      <c r="B30" s="49"/>
      <c r="C30" s="50"/>
      <c r="D30" s="18" t="s">
        <v>4</v>
      </c>
      <c r="E30" s="7" t="s">
        <v>88</v>
      </c>
      <c r="F30" s="34">
        <v>0.49980000000000002</v>
      </c>
      <c r="G30" s="34"/>
      <c r="H30" s="34"/>
      <c r="I30" s="34"/>
    </row>
    <row r="31" spans="1:9" ht="26" customHeight="1" x14ac:dyDescent="0.2">
      <c r="A31" s="46"/>
      <c r="B31" s="65" t="s">
        <v>93</v>
      </c>
      <c r="C31" s="65"/>
      <c r="D31" s="3" t="s">
        <v>59</v>
      </c>
      <c r="E31" s="16" t="s">
        <v>89</v>
      </c>
      <c r="F31" s="34">
        <v>0</v>
      </c>
      <c r="G31" s="34"/>
      <c r="H31" s="34"/>
      <c r="I31" s="34"/>
    </row>
    <row r="32" spans="1:9" ht="30" customHeight="1" x14ac:dyDescent="0.2">
      <c r="A32" s="52"/>
      <c r="B32" s="53"/>
      <c r="C32" s="53"/>
      <c r="D32" s="53"/>
      <c r="E32" s="6" t="s">
        <v>43</v>
      </c>
      <c r="F32" s="31">
        <f>SUM(F25:I31)</f>
        <v>5.2889037500000011</v>
      </c>
      <c r="G32" s="32"/>
      <c r="H32" s="32"/>
      <c r="I32" s="33"/>
    </row>
    <row r="33" spans="1:9" ht="30" customHeight="1" x14ac:dyDescent="0.2">
      <c r="A33" s="54"/>
      <c r="B33" s="55"/>
      <c r="C33" s="55"/>
      <c r="D33" s="55"/>
      <c r="E33" s="6" t="s">
        <v>45</v>
      </c>
      <c r="F33" s="34">
        <f>SUM(F32:I32)</f>
        <v>5.2889037500000011</v>
      </c>
      <c r="G33" s="34"/>
      <c r="H33" s="34"/>
      <c r="I33" s="34"/>
    </row>
    <row r="34" spans="1:9" ht="30" customHeight="1" x14ac:dyDescent="0.2">
      <c r="A34" s="54"/>
      <c r="B34" s="55"/>
      <c r="C34" s="55"/>
      <c r="D34" s="55"/>
      <c r="E34" s="6" t="s">
        <v>47</v>
      </c>
      <c r="F34" s="35">
        <v>0.8</v>
      </c>
      <c r="G34" s="35"/>
      <c r="H34" s="35"/>
      <c r="I34" s="35"/>
    </row>
    <row r="35" spans="1:9" ht="30" customHeight="1" x14ac:dyDescent="0.2">
      <c r="A35" s="56"/>
      <c r="B35" s="57"/>
      <c r="C35" s="57"/>
      <c r="D35" s="57"/>
      <c r="E35" s="12" t="s">
        <v>49</v>
      </c>
      <c r="F35" s="36">
        <f>F33*F34</f>
        <v>4.2311230000000011</v>
      </c>
      <c r="G35" s="36"/>
      <c r="H35" s="36"/>
      <c r="I35" s="36"/>
    </row>
    <row r="36" spans="1:9" ht="30" customHeight="1" x14ac:dyDescent="0.2">
      <c r="A36" s="44" t="s">
        <v>97</v>
      </c>
      <c r="B36" s="44"/>
      <c r="C36" s="44"/>
      <c r="D36" s="44"/>
      <c r="E36" s="44"/>
      <c r="F36" s="44"/>
      <c r="G36" s="44"/>
      <c r="H36" s="44"/>
      <c r="I36" s="44"/>
    </row>
    <row r="37" spans="1:9" ht="30" customHeight="1" x14ac:dyDescent="0.2">
      <c r="A37" s="44"/>
      <c r="B37" s="44"/>
      <c r="C37" s="44"/>
      <c r="D37" s="44"/>
      <c r="E37" s="44"/>
      <c r="F37" s="44"/>
      <c r="G37" s="44"/>
      <c r="H37" s="44"/>
      <c r="I37" s="44"/>
    </row>
    <row r="38" spans="1:9" ht="30" customHeight="1" x14ac:dyDescent="0.2">
      <c r="A38" s="9" t="s">
        <v>5</v>
      </c>
      <c r="B38" s="68" t="s">
        <v>62</v>
      </c>
      <c r="C38" s="68"/>
      <c r="D38" s="68"/>
      <c r="E38" s="4" t="s">
        <v>66</v>
      </c>
      <c r="F38" s="58" t="s">
        <v>70</v>
      </c>
      <c r="G38" s="60"/>
      <c r="H38" s="58" t="s">
        <v>71</v>
      </c>
      <c r="I38" s="60"/>
    </row>
    <row r="39" spans="1:9" ht="80" customHeight="1" x14ac:dyDescent="0.2">
      <c r="A39" s="51" t="s">
        <v>60</v>
      </c>
      <c r="B39" s="41" t="s">
        <v>78</v>
      </c>
      <c r="C39" s="42"/>
      <c r="D39" s="43"/>
      <c r="E39" s="3" t="s">
        <v>79</v>
      </c>
      <c r="F39" s="66" t="s">
        <v>80</v>
      </c>
      <c r="G39" s="67"/>
      <c r="H39" s="31">
        <v>4</v>
      </c>
      <c r="I39" s="33"/>
    </row>
    <row r="40" spans="1:9" ht="80" customHeight="1" x14ac:dyDescent="0.2">
      <c r="A40" s="51"/>
      <c r="B40" s="41" t="s">
        <v>76</v>
      </c>
      <c r="C40" s="42"/>
      <c r="D40" s="43"/>
      <c r="E40" s="3" t="s">
        <v>77</v>
      </c>
      <c r="F40" s="66" t="s">
        <v>81</v>
      </c>
      <c r="G40" s="67"/>
      <c r="H40" s="31">
        <v>12</v>
      </c>
      <c r="I40" s="33"/>
    </row>
    <row r="41" spans="1:9" ht="80" customHeight="1" x14ac:dyDescent="0.2">
      <c r="A41" s="51"/>
      <c r="B41" s="41" t="s">
        <v>63</v>
      </c>
      <c r="C41" s="42"/>
      <c r="D41" s="43"/>
      <c r="E41" s="3" t="s">
        <v>67</v>
      </c>
      <c r="F41" s="66" t="s">
        <v>98</v>
      </c>
      <c r="G41" s="67"/>
      <c r="H41" s="31">
        <v>20</v>
      </c>
      <c r="I41" s="33"/>
    </row>
    <row r="42" spans="1:9" ht="80" customHeight="1" x14ac:dyDescent="0.2">
      <c r="A42" s="51"/>
      <c r="B42" s="41" t="s">
        <v>64</v>
      </c>
      <c r="C42" s="42"/>
      <c r="D42" s="43"/>
      <c r="E42" s="3" t="s">
        <v>68</v>
      </c>
      <c r="F42" s="63" t="s">
        <v>80</v>
      </c>
      <c r="G42" s="64"/>
      <c r="H42" s="31">
        <v>4</v>
      </c>
      <c r="I42" s="33"/>
    </row>
    <row r="43" spans="1:9" ht="80" customHeight="1" x14ac:dyDescent="0.2">
      <c r="A43" s="19" t="s">
        <v>94</v>
      </c>
      <c r="B43" s="41" t="s">
        <v>95</v>
      </c>
      <c r="C43" s="42"/>
      <c r="D43" s="43"/>
      <c r="E43" s="3" t="s">
        <v>96</v>
      </c>
      <c r="F43" s="63"/>
      <c r="G43" s="64"/>
      <c r="H43" s="31">
        <v>4</v>
      </c>
      <c r="I43" s="33"/>
    </row>
    <row r="44" spans="1:9" ht="80" customHeight="1" x14ac:dyDescent="0.2">
      <c r="A44" s="6" t="s">
        <v>61</v>
      </c>
      <c r="B44" s="41" t="s">
        <v>65</v>
      </c>
      <c r="C44" s="42"/>
      <c r="D44" s="43"/>
      <c r="E44" s="3" t="s">
        <v>69</v>
      </c>
      <c r="F44" s="63"/>
      <c r="G44" s="64"/>
      <c r="H44" s="31">
        <v>12</v>
      </c>
      <c r="I44" s="33"/>
    </row>
    <row r="45" spans="1:9" ht="26" customHeight="1" x14ac:dyDescent="0.2">
      <c r="A45" s="37"/>
      <c r="B45" s="37"/>
      <c r="C45" s="37"/>
      <c r="D45" s="38"/>
      <c r="E45" s="13" t="s">
        <v>42</v>
      </c>
      <c r="F45" s="31">
        <f>SUM(H39:I44)</f>
        <v>56</v>
      </c>
      <c r="G45" s="32"/>
      <c r="H45" s="32"/>
      <c r="I45" s="33"/>
    </row>
    <row r="46" spans="1:9" ht="26" customHeight="1" x14ac:dyDescent="0.2">
      <c r="A46" s="39"/>
      <c r="B46" s="39"/>
      <c r="C46" s="39"/>
      <c r="D46" s="40"/>
      <c r="E46" s="14" t="s">
        <v>44</v>
      </c>
      <c r="F46" s="34">
        <f>SUM(F45:I45)</f>
        <v>56</v>
      </c>
      <c r="G46" s="34"/>
      <c r="H46" s="34"/>
      <c r="I46" s="34"/>
    </row>
    <row r="47" spans="1:9" ht="26" customHeight="1" x14ac:dyDescent="0.2">
      <c r="A47" s="39"/>
      <c r="B47" s="39"/>
      <c r="C47" s="39"/>
      <c r="D47" s="40"/>
      <c r="E47" s="14" t="s">
        <v>46</v>
      </c>
      <c r="F47" s="35">
        <v>0.8</v>
      </c>
      <c r="G47" s="35"/>
      <c r="H47" s="35"/>
      <c r="I47" s="35"/>
    </row>
    <row r="48" spans="1:9" ht="26" customHeight="1" x14ac:dyDescent="0.2">
      <c r="A48" s="39"/>
      <c r="B48" s="39"/>
      <c r="C48" s="39"/>
      <c r="D48" s="40"/>
      <c r="E48" s="15" t="s">
        <v>48</v>
      </c>
      <c r="F48" s="36">
        <f>F46*F47</f>
        <v>44.800000000000004</v>
      </c>
      <c r="G48" s="36"/>
      <c r="H48" s="36"/>
      <c r="I48" s="36"/>
    </row>
    <row r="49" spans="1:9" ht="26" customHeight="1" x14ac:dyDescent="0.2">
      <c r="A49" s="27" t="s">
        <v>72</v>
      </c>
      <c r="B49" s="27"/>
      <c r="C49" s="27"/>
      <c r="D49" s="27"/>
      <c r="E49" s="27"/>
      <c r="F49" s="27"/>
      <c r="G49" s="27"/>
      <c r="H49" s="27"/>
      <c r="I49" s="27"/>
    </row>
    <row r="50" spans="1:9" ht="26" customHeight="1" x14ac:dyDescent="0.2">
      <c r="A50" s="27"/>
      <c r="B50" s="27"/>
      <c r="C50" s="27"/>
      <c r="D50" s="27"/>
      <c r="E50" s="27"/>
      <c r="F50" s="27"/>
      <c r="G50" s="27"/>
      <c r="H50" s="27"/>
      <c r="I50" s="27"/>
    </row>
    <row r="51" spans="1:9" ht="26" customHeight="1" x14ac:dyDescent="0.2">
      <c r="A51" s="27"/>
      <c r="B51" s="27"/>
      <c r="C51" s="27"/>
      <c r="D51" s="27"/>
      <c r="E51" s="27"/>
      <c r="F51" s="27"/>
      <c r="G51" s="27"/>
      <c r="H51" s="27"/>
      <c r="I51" s="27"/>
    </row>
    <row r="52" spans="1:9" ht="15" customHeight="1" x14ac:dyDescent="0.2">
      <c r="A52" s="27"/>
      <c r="B52" s="27"/>
      <c r="C52" s="27"/>
      <c r="D52" s="27"/>
      <c r="E52" s="27"/>
      <c r="F52" s="27"/>
      <c r="G52" s="27"/>
      <c r="H52" s="27"/>
      <c r="I52" s="27"/>
    </row>
    <row r="53" spans="1:9" ht="40" customHeight="1" x14ac:dyDescent="0.2">
      <c r="A53" s="28" t="s">
        <v>73</v>
      </c>
      <c r="B53" s="29"/>
      <c r="C53" s="29"/>
      <c r="D53" s="30"/>
      <c r="E53" s="20">
        <f>F18*F19</f>
        <v>32</v>
      </c>
      <c r="F53" s="25" t="s">
        <v>75</v>
      </c>
      <c r="G53" s="25"/>
      <c r="H53" s="26">
        <f>SUM(E53:E55)</f>
        <v>81.031123000000008</v>
      </c>
      <c r="I53" s="26"/>
    </row>
    <row r="54" spans="1:9" ht="40" customHeight="1" x14ac:dyDescent="0.2">
      <c r="A54" s="28" t="s">
        <v>74</v>
      </c>
      <c r="B54" s="29"/>
      <c r="C54" s="29"/>
      <c r="D54" s="30"/>
      <c r="E54" s="20">
        <f>F33*F34</f>
        <v>4.2311230000000011</v>
      </c>
      <c r="F54" s="25"/>
      <c r="G54" s="25"/>
      <c r="H54" s="26"/>
      <c r="I54" s="26"/>
    </row>
    <row r="55" spans="1:9" ht="40" customHeight="1" x14ac:dyDescent="0.2">
      <c r="A55" s="28" t="s">
        <v>97</v>
      </c>
      <c r="B55" s="29"/>
      <c r="C55" s="29"/>
      <c r="D55" s="30"/>
      <c r="E55" s="20">
        <f>F46*F47</f>
        <v>44.800000000000004</v>
      </c>
      <c r="F55" s="25"/>
      <c r="G55" s="25"/>
      <c r="H55" s="26"/>
      <c r="I55" s="26"/>
    </row>
    <row r="56" spans="1:9" ht="40" customHeight="1" x14ac:dyDescent="0.2">
      <c r="A56" s="22" t="s">
        <v>45</v>
      </c>
      <c r="B56" s="23"/>
      <c r="C56" s="23"/>
      <c r="D56" s="24"/>
      <c r="E56" s="21">
        <f>SUM(E53:E55)</f>
        <v>81.031123000000008</v>
      </c>
      <c r="F56" s="25"/>
      <c r="G56" s="25"/>
      <c r="H56" s="26"/>
      <c r="I56" s="26"/>
    </row>
    <row r="57" spans="1:9" ht="40" customHeight="1" x14ac:dyDescent="0.2"/>
    <row r="58" spans="1:9" ht="40" customHeight="1" x14ac:dyDescent="0.2"/>
    <row r="59" spans="1:9" ht="40" customHeight="1" x14ac:dyDescent="0.2"/>
    <row r="60" spans="1:9" ht="40" customHeight="1" x14ac:dyDescent="0.2"/>
    <row r="61" spans="1:9" ht="40" customHeight="1" x14ac:dyDescent="0.2"/>
    <row r="62" spans="1:9" ht="40" customHeight="1" x14ac:dyDescent="0.2"/>
    <row r="63" spans="1:9" ht="40" customHeight="1" x14ac:dyDescent="0.2"/>
  </sheetData>
  <mergeCells count="83">
    <mergeCell ref="B43:D43"/>
    <mergeCell ref="F43:G43"/>
    <mergeCell ref="H43:I43"/>
    <mergeCell ref="F30:I30"/>
    <mergeCell ref="B23:C24"/>
    <mergeCell ref="F23:I24"/>
    <mergeCell ref="F26:I26"/>
    <mergeCell ref="F27:I27"/>
    <mergeCell ref="F28:I28"/>
    <mergeCell ref="F29:I29"/>
    <mergeCell ref="A1:I1"/>
    <mergeCell ref="A2:I2"/>
    <mergeCell ref="E3:I3"/>
    <mergeCell ref="E4:I4"/>
    <mergeCell ref="E6:I6"/>
    <mergeCell ref="A5:C5"/>
    <mergeCell ref="E5:I5"/>
    <mergeCell ref="A4:C4"/>
    <mergeCell ref="A3:C3"/>
    <mergeCell ref="A6:C6"/>
    <mergeCell ref="F17:I17"/>
    <mergeCell ref="A23:A24"/>
    <mergeCell ref="F19:I19"/>
    <mergeCell ref="A17:D20"/>
    <mergeCell ref="F20:I20"/>
    <mergeCell ref="A21:I22"/>
    <mergeCell ref="F18:I18"/>
    <mergeCell ref="D23:E23"/>
    <mergeCell ref="F44:G44"/>
    <mergeCell ref="H41:I41"/>
    <mergeCell ref="H42:I42"/>
    <mergeCell ref="B31:C31"/>
    <mergeCell ref="F33:I33"/>
    <mergeCell ref="F38:G38"/>
    <mergeCell ref="H38:I38"/>
    <mergeCell ref="F39:G39"/>
    <mergeCell ref="H39:I39"/>
    <mergeCell ref="F41:G41"/>
    <mergeCell ref="H44:I44"/>
    <mergeCell ref="B42:D42"/>
    <mergeCell ref="B44:D44"/>
    <mergeCell ref="F31:I31"/>
    <mergeCell ref="F42:G42"/>
    <mergeCell ref="B38:D38"/>
    <mergeCell ref="A7:I8"/>
    <mergeCell ref="F9:I9"/>
    <mergeCell ref="F10:I10"/>
    <mergeCell ref="F11:I11"/>
    <mergeCell ref="F12:I12"/>
    <mergeCell ref="A10:A16"/>
    <mergeCell ref="B10:B16"/>
    <mergeCell ref="F13:I13"/>
    <mergeCell ref="F14:I14"/>
    <mergeCell ref="F15:I15"/>
    <mergeCell ref="F16:I16"/>
    <mergeCell ref="B41:D41"/>
    <mergeCell ref="F32:I32"/>
    <mergeCell ref="A36:I37"/>
    <mergeCell ref="B39:D39"/>
    <mergeCell ref="A25:A31"/>
    <mergeCell ref="B25:C27"/>
    <mergeCell ref="B28:C28"/>
    <mergeCell ref="B29:C30"/>
    <mergeCell ref="A39:A42"/>
    <mergeCell ref="A32:D35"/>
    <mergeCell ref="F34:I34"/>
    <mergeCell ref="F35:I35"/>
    <mergeCell ref="B40:D40"/>
    <mergeCell ref="F40:G40"/>
    <mergeCell ref="H40:I40"/>
    <mergeCell ref="F25:I25"/>
    <mergeCell ref="F45:I45"/>
    <mergeCell ref="F46:I46"/>
    <mergeCell ref="F47:I47"/>
    <mergeCell ref="F48:I48"/>
    <mergeCell ref="A45:D48"/>
    <mergeCell ref="A56:D56"/>
    <mergeCell ref="F53:G56"/>
    <mergeCell ref="H53:I56"/>
    <mergeCell ref="A49:I52"/>
    <mergeCell ref="A53:D53"/>
    <mergeCell ref="A54:D54"/>
    <mergeCell ref="A55:D5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用户</cp:lastModifiedBy>
  <dcterms:created xsi:type="dcterms:W3CDTF">2017-08-17T02:46:07Z</dcterms:created>
  <dcterms:modified xsi:type="dcterms:W3CDTF">2018-01-22T02:32:00Z</dcterms:modified>
</cp:coreProperties>
</file>